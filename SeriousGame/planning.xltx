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06"/>
  <workbookPr filterPrivacy="1" codeName="ThisWorkbook"/>
  <bookViews>
    <workbookView xWindow="0" yWindow="0" windowWidth="25200" windowHeight="12570"/>
  </bookViews>
  <sheets>
    <sheet name="Chronologie du projet" sheetId="1" r:id="rId1"/>
    <sheet name="calculs" sheetId="2" state="hidden" r:id="rId2"/>
  </sheets>
  <definedNames>
    <definedName name="CalcGrille">IFERROR(calculs!$A1/SUMPRODUCT( (Activités[ID]=calculs!$C1)*(Activités[DÉBUT]&lt;=calculs!A$31)*((Activités[FIN]&gt;=calculs!A$31)+(LEN(Activités[FIN])=0)*(Activités[DÉBUT]=calculs!A$31)) ),NA())</definedName>
    <definedName name="DateDébut">calculs!$D$28</definedName>
    <definedName name="FenêtreDateDébut">calculs!$D$25</definedName>
    <definedName name="FenêtreDécalage">calculs!$D$26</definedName>
    <definedName name="FenêtreJours">calculs!$D$29</definedName>
    <definedName name="RailsJour">FenêtreDateDébut+ROW('Chronologie du projet'!$1:$25)-1</definedName>
  </definedNames>
  <calcPr calcId="152511"/>
</workbook>
</file>

<file path=xl/calcChain.xml><?xml version="1.0" encoding="utf-8"?>
<calcChain xmlns="http://schemas.openxmlformats.org/spreadsheetml/2006/main">
  <c r="D20" i="1" l="1"/>
  <c r="D23" i="1" l="1"/>
  <c r="D3" i="2"/>
  <c r="F71" i="2"/>
  <c r="G71" i="2" s="1"/>
  <c r="H71" i="2" s="1"/>
  <c r="I71" i="2" s="1"/>
  <c r="J71" i="2" s="1"/>
  <c r="K71" i="2" s="1"/>
  <c r="L71" i="2" s="1"/>
  <c r="M71" i="2" s="1"/>
  <c r="N71" i="2" s="1"/>
  <c r="O71" i="2" s="1"/>
  <c r="P71" i="2" s="1"/>
  <c r="Q71" i="2" s="1"/>
  <c r="R71" i="2" s="1"/>
  <c r="S71" i="2" s="1"/>
  <c r="T71" i="2" s="1"/>
  <c r="U71" i="2" s="1"/>
  <c r="V71" i="2" s="1"/>
  <c r="W71" i="2" s="1"/>
  <c r="X71" i="2" s="1"/>
  <c r="Y71" i="2" s="1"/>
  <c r="Z71" i="2" s="1"/>
  <c r="AA71" i="2" s="1"/>
  <c r="AB71" i="2" s="1"/>
  <c r="AC71" i="2" s="1"/>
  <c r="AD71" i="2" s="1"/>
  <c r="AE71" i="2" s="1"/>
  <c r="AF71" i="2" s="1"/>
  <c r="AG71" i="2" s="1"/>
  <c r="AH71" i="2" s="1"/>
  <c r="F69" i="2"/>
  <c r="G69" i="2" s="1"/>
  <c r="H69" i="2" s="1"/>
  <c r="I69" i="2" s="1"/>
  <c r="J69" i="2" s="1"/>
  <c r="K69" i="2" s="1"/>
  <c r="L69" i="2" s="1"/>
  <c r="M69" i="2" s="1"/>
  <c r="N69" i="2" s="1"/>
  <c r="O69" i="2" s="1"/>
  <c r="P69" i="2" s="1"/>
  <c r="Q69" i="2" s="1"/>
  <c r="R69" i="2" s="1"/>
  <c r="S69" i="2" s="1"/>
  <c r="T69" i="2" s="1"/>
  <c r="U69" i="2" s="1"/>
  <c r="V69" i="2" s="1"/>
  <c r="W69" i="2" s="1"/>
  <c r="X69" i="2" s="1"/>
  <c r="Y69" i="2" s="1"/>
  <c r="Z69" i="2" s="1"/>
  <c r="AA69" i="2" s="1"/>
  <c r="AB69" i="2" s="1"/>
  <c r="AC69" i="2" s="1"/>
  <c r="AD69" i="2" s="1"/>
  <c r="AE69" i="2" s="1"/>
  <c r="AF69" i="2" s="1"/>
  <c r="AG69" i="2" s="1"/>
  <c r="AH69" i="2" s="1"/>
  <c r="D24" i="1" l="1"/>
  <c r="D25" i="1" s="1"/>
  <c r="A33" i="2"/>
  <c r="A34" i="2" s="1"/>
  <c r="A35" i="2" s="1"/>
  <c r="A36" i="2" s="1"/>
  <c r="A37" i="2" s="1"/>
  <c r="A38" i="2" s="1"/>
  <c r="A39" i="2" s="1"/>
  <c r="A40" i="2" s="1"/>
  <c r="D28" i="2"/>
  <c r="D25" i="2" s="1"/>
  <c r="E14" i="2"/>
  <c r="E13" i="2"/>
  <c r="E12" i="2"/>
  <c r="E11" i="2"/>
  <c r="E10" i="2"/>
  <c r="E9" i="2"/>
  <c r="E8" i="2"/>
  <c r="E7" i="2"/>
  <c r="E6" i="2"/>
  <c r="B23" i="1"/>
  <c r="E15" i="2" l="1" a="1"/>
  <c r="E15" i="2" s="1"/>
  <c r="E24" i="1"/>
  <c r="D26" i="1"/>
  <c r="D27" i="1" s="1"/>
  <c r="E27" i="1" s="1"/>
  <c r="E25" i="1"/>
  <c r="E31" i="2"/>
  <c r="F31" i="2" s="1"/>
  <c r="G31" i="2" s="1"/>
  <c r="H31" i="2" s="1"/>
  <c r="I31" i="2" s="1"/>
  <c r="J31" i="2" s="1"/>
  <c r="K31" i="2" s="1"/>
  <c r="L31" i="2" s="1"/>
  <c r="M31" i="2" s="1"/>
  <c r="N31" i="2" s="1"/>
  <c r="O31" i="2" s="1"/>
  <c r="P31" i="2" s="1"/>
  <c r="Q31" i="2" s="1"/>
  <c r="R31" i="2" s="1"/>
  <c r="S31" i="2" s="1"/>
  <c r="T31" i="2" s="1"/>
  <c r="U31" i="2" s="1"/>
  <c r="V31" i="2" s="1"/>
  <c r="W31" i="2" s="1"/>
  <c r="X31" i="2" s="1"/>
  <c r="Y31" i="2" s="1"/>
  <c r="Z31" i="2" s="1"/>
  <c r="AA31" i="2" s="1"/>
  <c r="AB31" i="2" s="1"/>
  <c r="AC31" i="2" s="1"/>
  <c r="AD31" i="2" s="1"/>
  <c r="AE31" i="2" s="1"/>
  <c r="AF31" i="2" s="1"/>
  <c r="AG31" i="2" s="1"/>
  <c r="AH31" i="2" s="1"/>
  <c r="AH55" i="2" s="1"/>
  <c r="B24" i="1"/>
  <c r="B25" i="1" s="1"/>
  <c r="B26" i="1" s="1"/>
  <c r="B27" i="1" s="1"/>
  <c r="B28" i="1" s="1"/>
  <c r="B29" i="1" s="1"/>
  <c r="B30" i="1" s="1"/>
  <c r="B31" i="1" s="1"/>
  <c r="B32" i="1" s="1"/>
  <c r="B33" i="1" s="1"/>
  <c r="B34" i="1" s="1"/>
  <c r="AH70" i="2" l="1"/>
  <c r="AH72" i="2"/>
  <c r="D28" i="1"/>
  <c r="D29" i="1" s="1"/>
  <c r="D30" i="1" s="1"/>
  <c r="D31" i="1" s="1"/>
  <c r="AH56" i="2"/>
  <c r="J55" i="2"/>
  <c r="P43" i="2"/>
  <c r="U55" i="2"/>
  <c r="I55" i="2"/>
  <c r="I43" i="2"/>
  <c r="AB55" i="2"/>
  <c r="P55" i="2"/>
  <c r="G55" i="2"/>
  <c r="M55" i="2"/>
  <c r="J43" i="2"/>
  <c r="N43" i="2"/>
  <c r="U43" i="2"/>
  <c r="AF55" i="2"/>
  <c r="AF43" i="2"/>
  <c r="Z43" i="2"/>
  <c r="T43" i="2"/>
  <c r="AG43" i="2"/>
  <c r="Y43" i="2"/>
  <c r="Z55" i="2"/>
  <c r="AB43" i="2"/>
  <c r="AA43" i="2"/>
  <c r="S43" i="2"/>
  <c r="T55" i="2"/>
  <c r="M43" i="2"/>
  <c r="V43" i="2"/>
  <c r="O43" i="2"/>
  <c r="G43" i="2"/>
  <c r="H55" i="2"/>
  <c r="L55" i="2"/>
  <c r="AD55" i="2"/>
  <c r="X55" i="2"/>
  <c r="R55" i="2"/>
  <c r="V55" i="2"/>
  <c r="Y55" i="2"/>
  <c r="O55" i="2"/>
  <c r="N55" i="2"/>
  <c r="H43" i="2"/>
  <c r="F55" i="2"/>
  <c r="S55" i="2"/>
  <c r="X43" i="2"/>
  <c r="AD43" i="2"/>
  <c r="R43" i="2"/>
  <c r="AG55" i="2"/>
  <c r="L43" i="2"/>
  <c r="AA55" i="2"/>
  <c r="F43" i="2"/>
  <c r="K43" i="2"/>
  <c r="AE55" i="2"/>
  <c r="AC43" i="2"/>
  <c r="W43" i="2"/>
  <c r="E43" i="2"/>
  <c r="AH43" i="2"/>
  <c r="Q55" i="2"/>
  <c r="AE43" i="2"/>
  <c r="K55" i="2"/>
  <c r="E55" i="2"/>
  <c r="Q43" i="2"/>
  <c r="W55" i="2"/>
  <c r="AC55" i="2"/>
  <c r="AI31" i="2"/>
  <c r="AE70" i="2" l="1"/>
  <c r="AE72" i="2"/>
  <c r="AD70" i="2"/>
  <c r="AD72" i="2"/>
  <c r="AC70" i="2"/>
  <c r="AC72" i="2"/>
  <c r="AG70" i="2"/>
  <c r="AG72" i="2"/>
  <c r="AF70" i="2"/>
  <c r="AF72" i="2"/>
  <c r="AB70" i="2"/>
  <c r="AB72" i="2"/>
  <c r="AA70" i="2"/>
  <c r="AA72" i="2"/>
  <c r="Z70" i="2"/>
  <c r="Z72" i="2"/>
  <c r="W70" i="2"/>
  <c r="W72" i="2"/>
  <c r="N70" i="2"/>
  <c r="N72" i="2"/>
  <c r="Y70" i="2"/>
  <c r="Y72" i="2"/>
  <c r="R70" i="2"/>
  <c r="R72" i="2"/>
  <c r="H70" i="2"/>
  <c r="H72" i="2"/>
  <c r="G70" i="2"/>
  <c r="G72" i="2"/>
  <c r="I70" i="2"/>
  <c r="I72" i="2"/>
  <c r="K70" i="2"/>
  <c r="K72" i="2"/>
  <c r="Q70" i="2"/>
  <c r="Q72" i="2"/>
  <c r="S70" i="2"/>
  <c r="S72" i="2"/>
  <c r="O70" i="2"/>
  <c r="O72" i="2"/>
  <c r="V70" i="2"/>
  <c r="V72" i="2"/>
  <c r="X70" i="2"/>
  <c r="X72" i="2"/>
  <c r="L70" i="2"/>
  <c r="L72" i="2"/>
  <c r="T70" i="2"/>
  <c r="T72" i="2"/>
  <c r="M70" i="2"/>
  <c r="M72" i="2"/>
  <c r="P70" i="2"/>
  <c r="P72" i="2"/>
  <c r="U70" i="2"/>
  <c r="U72" i="2"/>
  <c r="J70" i="2"/>
  <c r="J72" i="2"/>
  <c r="F70" i="2"/>
  <c r="F72" i="2"/>
  <c r="E70" i="2"/>
  <c r="E72" i="2"/>
  <c r="E29" i="1"/>
  <c r="E28" i="1"/>
  <c r="P56" i="2"/>
  <c r="D32" i="1"/>
  <c r="E31" i="1"/>
  <c r="J56" i="2"/>
  <c r="R56" i="2"/>
  <c r="AF56" i="2"/>
  <c r="G56" i="2"/>
  <c r="M56" i="2"/>
  <c r="U56" i="2"/>
  <c r="Y56" i="2"/>
  <c r="I56" i="2"/>
  <c r="AA56" i="2"/>
  <c r="E56" i="2"/>
  <c r="Z56" i="2"/>
  <c r="AE56" i="2"/>
  <c r="AD56" i="2"/>
  <c r="AB56" i="2"/>
  <c r="Q56" i="2"/>
  <c r="O56" i="2"/>
  <c r="F56" i="2"/>
  <c r="T56" i="2"/>
  <c r="H56" i="2"/>
  <c r="L56" i="2"/>
  <c r="AG56" i="2"/>
  <c r="X56" i="2"/>
  <c r="N56" i="2"/>
  <c r="S56" i="2"/>
  <c r="V56" i="2"/>
  <c r="K56" i="2"/>
  <c r="AC56" i="2"/>
  <c r="W56" i="2"/>
  <c r="D58" i="2"/>
  <c r="D59" i="2" s="1"/>
  <c r="D33" i="1" l="1"/>
  <c r="E32" i="1"/>
  <c r="D61" i="2"/>
  <c r="D62" i="2" s="1"/>
  <c r="D65" i="2"/>
  <c r="Q65" i="2" s="1"/>
  <c r="AH58" i="2"/>
  <c r="AH59" i="2" s="1"/>
  <c r="AB58" i="2"/>
  <c r="AB59" i="2" s="1"/>
  <c r="V58" i="2"/>
  <c r="V59" i="2" s="1"/>
  <c r="P58" i="2"/>
  <c r="P59" i="2" s="1"/>
  <c r="J58" i="2"/>
  <c r="J59" i="2" s="1"/>
  <c r="M58" i="2"/>
  <c r="M59" i="2" s="1"/>
  <c r="R58" i="2"/>
  <c r="R59" i="2" s="1"/>
  <c r="AG58" i="2"/>
  <c r="AG59" i="2" s="1"/>
  <c r="AA58" i="2"/>
  <c r="AA59" i="2" s="1"/>
  <c r="U58" i="2"/>
  <c r="U59" i="2" s="1"/>
  <c r="O58" i="2"/>
  <c r="O59" i="2" s="1"/>
  <c r="I58" i="2"/>
  <c r="I59" i="2" s="1"/>
  <c r="X58" i="2"/>
  <c r="X59" i="2" s="1"/>
  <c r="AF58" i="2"/>
  <c r="AF59" i="2" s="1"/>
  <c r="Z58" i="2"/>
  <c r="Z59" i="2" s="1"/>
  <c r="T58" i="2"/>
  <c r="T59" i="2" s="1"/>
  <c r="N58" i="2"/>
  <c r="N59" i="2" s="1"/>
  <c r="H58" i="2"/>
  <c r="H59" i="2" s="1"/>
  <c r="G58" i="2"/>
  <c r="G59" i="2" s="1"/>
  <c r="L58" i="2"/>
  <c r="L59" i="2" s="1"/>
  <c r="AE58" i="2"/>
  <c r="AE59" i="2" s="1"/>
  <c r="Y58" i="2"/>
  <c r="Y59" i="2" s="1"/>
  <c r="S58" i="2"/>
  <c r="S59" i="2" s="1"/>
  <c r="AD58" i="2"/>
  <c r="AD59" i="2" s="1"/>
  <c r="AC58" i="2"/>
  <c r="AC59" i="2" s="1"/>
  <c r="W58" i="2"/>
  <c r="W59" i="2" s="1"/>
  <c r="Q58" i="2"/>
  <c r="Q59" i="2" s="1"/>
  <c r="K58" i="2"/>
  <c r="K59" i="2" s="1"/>
  <c r="E58" i="2"/>
  <c r="E59" i="2" s="1"/>
  <c r="F58" i="2"/>
  <c r="F59" i="2" s="1"/>
  <c r="D34" i="1" l="1"/>
  <c r="E33" i="1"/>
  <c r="AA65" i="2"/>
  <c r="R65" i="2"/>
  <c r="AE65" i="2"/>
  <c r="AF65" i="2"/>
  <c r="U65" i="2"/>
  <c r="T65" i="2"/>
  <c r="Z65" i="2"/>
  <c r="K65" i="2"/>
  <c r="N65" i="2"/>
  <c r="I65" i="2"/>
  <c r="E65" i="2"/>
  <c r="Y65" i="2"/>
  <c r="J65" i="2"/>
  <c r="P65" i="2"/>
  <c r="AH65" i="2"/>
  <c r="F65" i="2"/>
  <c r="AG65" i="2"/>
  <c r="AC65" i="2"/>
  <c r="G65" i="2"/>
  <c r="D66" i="2"/>
  <c r="P66" i="2" s="1"/>
  <c r="H65" i="2"/>
  <c r="W65" i="2"/>
  <c r="L65" i="2"/>
  <c r="M65" i="2"/>
  <c r="AD65" i="2"/>
  <c r="AB65" i="2"/>
  <c r="V65" i="2"/>
  <c r="O65" i="2"/>
  <c r="S65" i="2"/>
  <c r="X65" i="2"/>
  <c r="AH61" i="2"/>
  <c r="AH62" i="2" s="1"/>
  <c r="P61" i="2"/>
  <c r="P62" i="2" s="1"/>
  <c r="U61" i="2"/>
  <c r="U62" i="2" s="1"/>
  <c r="AG61" i="2"/>
  <c r="AG62" i="2" s="1"/>
  <c r="AF61" i="2"/>
  <c r="AF62" i="2" s="1"/>
  <c r="Z61" i="2"/>
  <c r="Z62" i="2" s="1"/>
  <c r="T61" i="2"/>
  <c r="T62" i="2" s="1"/>
  <c r="N61" i="2"/>
  <c r="N62" i="2" s="1"/>
  <c r="H61" i="2"/>
  <c r="H62" i="2" s="1"/>
  <c r="V61" i="2"/>
  <c r="V62" i="2" s="1"/>
  <c r="I61" i="2"/>
  <c r="I62" i="2" s="1"/>
  <c r="AE61" i="2"/>
  <c r="AE62" i="2" s="1"/>
  <c r="Y61" i="2"/>
  <c r="Y62" i="2" s="1"/>
  <c r="S61" i="2"/>
  <c r="S62" i="2" s="1"/>
  <c r="M61" i="2"/>
  <c r="M62" i="2" s="1"/>
  <c r="G61" i="2"/>
  <c r="G62" i="2" s="1"/>
  <c r="AD61" i="2"/>
  <c r="AD62" i="2" s="1"/>
  <c r="X61" i="2"/>
  <c r="X62" i="2" s="1"/>
  <c r="R61" i="2"/>
  <c r="R62" i="2" s="1"/>
  <c r="L61" i="2"/>
  <c r="L62" i="2" s="1"/>
  <c r="F61" i="2"/>
  <c r="F62" i="2" s="1"/>
  <c r="AC61" i="2"/>
  <c r="AC62" i="2" s="1"/>
  <c r="W61" i="2"/>
  <c r="W62" i="2" s="1"/>
  <c r="K61" i="2"/>
  <c r="K62" i="2" s="1"/>
  <c r="E61" i="2"/>
  <c r="E62" i="2" s="1"/>
  <c r="AB61" i="2"/>
  <c r="AB62" i="2" s="1"/>
  <c r="J61" i="2"/>
  <c r="J62" i="2" s="1"/>
  <c r="AA61" i="2"/>
  <c r="AA62" i="2" s="1"/>
  <c r="O61" i="2"/>
  <c r="O62" i="2" s="1"/>
  <c r="Q61" i="2"/>
  <c r="Q62" i="2" s="1"/>
  <c r="E16" i="2" l="1" a="1"/>
  <c r="E16" i="2" s="1"/>
  <c r="E17" i="2" s="1" a="1"/>
  <c r="E17" i="2" s="1"/>
  <c r="E18" i="2" s="1" a="1"/>
  <c r="E18" i="2" s="1"/>
  <c r="E19" i="2" s="1" a="1"/>
  <c r="E19" i="2" s="1"/>
  <c r="E20" i="2" s="1" a="1"/>
  <c r="E20" i="2" s="1"/>
  <c r="E21" i="2" s="1" a="1"/>
  <c r="E21" i="2" s="1"/>
  <c r="E22" i="2" s="1" a="1"/>
  <c r="E22" i="2" s="1"/>
  <c r="E23" i="2" s="1" a="1"/>
  <c r="E23" i="2" s="1"/>
  <c r="D9" i="2"/>
  <c r="D11" i="2" s="1"/>
  <c r="F18" i="2" s="1"/>
  <c r="C35" i="2" s="1"/>
  <c r="AI35" i="2" s="1"/>
  <c r="AH66" i="2"/>
  <c r="H66" i="2"/>
  <c r="U66" i="2"/>
  <c r="F66" i="2"/>
  <c r="Z66" i="2"/>
  <c r="AE66" i="2"/>
  <c r="AF66" i="2"/>
  <c r="R66" i="2"/>
  <c r="Y66" i="2"/>
  <c r="AC66" i="2"/>
  <c r="W66" i="2"/>
  <c r="O66" i="2"/>
  <c r="AB66" i="2"/>
  <c r="V66" i="2"/>
  <c r="AD66" i="2"/>
  <c r="X66" i="2"/>
  <c r="AA66" i="2"/>
  <c r="Q66" i="2"/>
  <c r="I66" i="2"/>
  <c r="S66" i="2"/>
  <c r="K66" i="2"/>
  <c r="T66" i="2"/>
  <c r="M66" i="2"/>
  <c r="E66" i="2"/>
  <c r="N66" i="2"/>
  <c r="G66" i="2"/>
  <c r="J66" i="2"/>
  <c r="L66" i="2"/>
  <c r="AG66" i="2"/>
  <c r="C47" i="2" l="1"/>
  <c r="D47" i="2" s="1"/>
  <c r="AC35" i="2"/>
  <c r="S35" i="2"/>
  <c r="P35" i="2"/>
  <c r="D35" i="2"/>
  <c r="X35" i="2"/>
  <c r="E35" i="2"/>
  <c r="U35" i="2"/>
  <c r="AE35" i="2"/>
  <c r="G35" i="2"/>
  <c r="L35" i="2"/>
  <c r="Q35" i="2"/>
  <c r="AB35" i="2"/>
  <c r="AG35" i="2"/>
  <c r="AF35" i="2"/>
  <c r="F19" i="2"/>
  <c r="C36" i="2" s="1"/>
  <c r="AI36" i="2" s="1"/>
  <c r="Y35" i="2"/>
  <c r="M35" i="2"/>
  <c r="AD35" i="2"/>
  <c r="R35" i="2"/>
  <c r="F35" i="2"/>
  <c r="W35" i="2"/>
  <c r="K35" i="2"/>
  <c r="AH35" i="2"/>
  <c r="V35" i="2"/>
  <c r="J35" i="2"/>
  <c r="AA35" i="2"/>
  <c r="O35" i="2"/>
  <c r="T35" i="2"/>
  <c r="H35" i="2"/>
  <c r="I35" i="2"/>
  <c r="Z35" i="2"/>
  <c r="N35" i="2"/>
  <c r="F16" i="2"/>
  <c r="C33" i="2" s="1"/>
  <c r="AI33" i="2" s="1"/>
  <c r="F17" i="2"/>
  <c r="C34" i="2" s="1"/>
  <c r="I34" i="2" s="1"/>
  <c r="F15" i="2"/>
  <c r="C32" i="2" s="1"/>
  <c r="D32" i="2" s="1"/>
  <c r="F20" i="2"/>
  <c r="C37" i="2" s="1"/>
  <c r="F22" i="2"/>
  <c r="C39" i="2" s="1"/>
  <c r="F21" i="2"/>
  <c r="C38" i="2" s="1"/>
  <c r="F23" i="2"/>
  <c r="C40" i="2" s="1"/>
  <c r="AG47" i="2" l="1"/>
  <c r="O47" i="2"/>
  <c r="W47" i="2"/>
  <c r="AA47" i="2"/>
  <c r="AE47" i="2"/>
  <c r="AD47" i="2"/>
  <c r="E47" i="2"/>
  <c r="P47" i="2"/>
  <c r="R47" i="2"/>
  <c r="AH36" i="2"/>
  <c r="AH48" i="2" s="1"/>
  <c r="F47" i="2"/>
  <c r="Y36" i="2"/>
  <c r="R36" i="2"/>
  <c r="O36" i="2"/>
  <c r="I33" i="2"/>
  <c r="T47" i="2"/>
  <c r="U47" i="2"/>
  <c r="X47" i="2"/>
  <c r="AB47" i="2"/>
  <c r="S47" i="2"/>
  <c r="F34" i="2"/>
  <c r="AC34" i="2"/>
  <c r="C44" i="2"/>
  <c r="D44" i="2" s="1"/>
  <c r="D34" i="2"/>
  <c r="C46" i="2"/>
  <c r="D46" i="2" s="1"/>
  <c r="AI34" i="2"/>
  <c r="L47" i="2"/>
  <c r="AF47" i="2"/>
  <c r="D36" i="2"/>
  <c r="Q47" i="2"/>
  <c r="W36" i="2"/>
  <c r="J36" i="2"/>
  <c r="T36" i="2"/>
  <c r="J33" i="2"/>
  <c r="AH47" i="2"/>
  <c r="AD36" i="2"/>
  <c r="F36" i="2"/>
  <c r="K36" i="2"/>
  <c r="V36" i="2"/>
  <c r="AA36" i="2"/>
  <c r="AF36" i="2"/>
  <c r="H36" i="2"/>
  <c r="M36" i="2"/>
  <c r="C48" i="2"/>
  <c r="D48" i="2" s="1"/>
  <c r="M33" i="2"/>
  <c r="X33" i="2"/>
  <c r="V47" i="2"/>
  <c r="J47" i="2"/>
  <c r="K47" i="2"/>
  <c r="AC47" i="2"/>
  <c r="Y34" i="2"/>
  <c r="V34" i="2"/>
  <c r="S34" i="2"/>
  <c r="P34" i="2"/>
  <c r="Y47" i="2"/>
  <c r="H47" i="2"/>
  <c r="M47" i="2"/>
  <c r="G47" i="2"/>
  <c r="X36" i="2"/>
  <c r="L36" i="2"/>
  <c r="AC36" i="2"/>
  <c r="Q36" i="2"/>
  <c r="E36" i="2"/>
  <c r="AB36" i="2"/>
  <c r="P36" i="2"/>
  <c r="AG36" i="2"/>
  <c r="U36" i="2"/>
  <c r="T48" i="2" s="1"/>
  <c r="I36" i="2"/>
  <c r="Z36" i="2"/>
  <c r="N36" i="2"/>
  <c r="AE36" i="2"/>
  <c r="S36" i="2"/>
  <c r="G36" i="2"/>
  <c r="F48" i="2" s="1"/>
  <c r="R32" i="2"/>
  <c r="AF33" i="2"/>
  <c r="W33" i="2"/>
  <c r="Z33" i="2"/>
  <c r="E33" i="2"/>
  <c r="N47" i="2"/>
  <c r="I47" i="2"/>
  <c r="F32" i="2"/>
  <c r="V32" i="2"/>
  <c r="AA33" i="2"/>
  <c r="H33" i="2"/>
  <c r="R33" i="2"/>
  <c r="AH33" i="2"/>
  <c r="AH45" i="2" s="1"/>
  <c r="D33" i="2"/>
  <c r="S33" i="2"/>
  <c r="AC33" i="2"/>
  <c r="P33" i="2"/>
  <c r="T34" i="2"/>
  <c r="S46" i="2" s="1"/>
  <c r="AD34" i="2"/>
  <c r="AC46" i="2" s="1"/>
  <c r="K34" i="2"/>
  <c r="AA34" i="2"/>
  <c r="N34" i="2"/>
  <c r="X34" i="2"/>
  <c r="E34" i="2"/>
  <c r="U34" i="2"/>
  <c r="AF34" i="2"/>
  <c r="H34" i="2"/>
  <c r="H46" i="2" s="1"/>
  <c r="M34" i="2"/>
  <c r="R34" i="2"/>
  <c r="W34" i="2"/>
  <c r="AH34" i="2"/>
  <c r="J34" i="2"/>
  <c r="I46" i="2" s="1"/>
  <c r="O34" i="2"/>
  <c r="Z34" i="2"/>
  <c r="AE34" i="2"/>
  <c r="AD46" i="2" s="1"/>
  <c r="G34" i="2"/>
  <c r="L34" i="2"/>
  <c r="Q34" i="2"/>
  <c r="AB34" i="2"/>
  <c r="AB46" i="2" s="1"/>
  <c r="AG34" i="2"/>
  <c r="Z47" i="2"/>
  <c r="P32" i="2"/>
  <c r="AE32" i="2"/>
  <c r="AB32" i="2"/>
  <c r="O32" i="2"/>
  <c r="AG33" i="2"/>
  <c r="N33" i="2"/>
  <c r="O33" i="2"/>
  <c r="T33" i="2"/>
  <c r="Y33" i="2"/>
  <c r="AD33" i="2"/>
  <c r="F33" i="2"/>
  <c r="K33" i="2"/>
  <c r="V33" i="2"/>
  <c r="C45" i="2"/>
  <c r="D45" i="2" s="1"/>
  <c r="U33" i="2"/>
  <c r="AE33" i="2"/>
  <c r="G33" i="2"/>
  <c r="L33" i="2"/>
  <c r="Q33" i="2"/>
  <c r="AB33" i="2"/>
  <c r="Y32" i="2"/>
  <c r="AC32" i="2"/>
  <c r="AD32" i="2"/>
  <c r="Z32" i="2"/>
  <c r="AA32" i="2"/>
  <c r="W32" i="2"/>
  <c r="H32" i="2"/>
  <c r="AG32" i="2"/>
  <c r="K32" i="2"/>
  <c r="X32" i="2"/>
  <c r="T32" i="2"/>
  <c r="Q32" i="2"/>
  <c r="L32" i="2"/>
  <c r="E32" i="2"/>
  <c r="M32" i="2"/>
  <c r="N32" i="2"/>
  <c r="I32" i="2"/>
  <c r="U32" i="2"/>
  <c r="J32" i="2"/>
  <c r="AI32" i="2"/>
  <c r="S32" i="2"/>
  <c r="G32" i="2"/>
  <c r="AF32" i="2"/>
  <c r="AH32" i="2"/>
  <c r="C52" i="2"/>
  <c r="D52" i="2" s="1"/>
  <c r="AI40" i="2"/>
  <c r="C51" i="2"/>
  <c r="D51" i="2" s="1"/>
  <c r="AI39" i="2"/>
  <c r="C49" i="2"/>
  <c r="D49" i="2" s="1"/>
  <c r="AI37" i="2"/>
  <c r="C50" i="2"/>
  <c r="D50" i="2" s="1"/>
  <c r="AI38" i="2"/>
  <c r="E38" i="2"/>
  <c r="K38" i="2"/>
  <c r="Q38" i="2"/>
  <c r="W38" i="2"/>
  <c r="AC38" i="2"/>
  <c r="F38" i="2"/>
  <c r="L38" i="2"/>
  <c r="R38" i="2"/>
  <c r="X38" i="2"/>
  <c r="AD38" i="2"/>
  <c r="G38" i="2"/>
  <c r="M38" i="2"/>
  <c r="S38" i="2"/>
  <c r="Y38" i="2"/>
  <c r="AE38" i="2"/>
  <c r="H38" i="2"/>
  <c r="N38" i="2"/>
  <c r="T38" i="2"/>
  <c r="Z38" i="2"/>
  <c r="AF38" i="2"/>
  <c r="I38" i="2"/>
  <c r="O38" i="2"/>
  <c r="U38" i="2"/>
  <c r="AA38" i="2"/>
  <c r="AG38" i="2"/>
  <c r="J38" i="2"/>
  <c r="P38" i="2"/>
  <c r="V38" i="2"/>
  <c r="AB38" i="2"/>
  <c r="AH38" i="2"/>
  <c r="I40" i="2"/>
  <c r="AG40" i="2"/>
  <c r="V40" i="2"/>
  <c r="Q40" i="2"/>
  <c r="F40" i="2"/>
  <c r="J40" i="2"/>
  <c r="AH40" i="2"/>
  <c r="AD40" i="2"/>
  <c r="E40" i="2"/>
  <c r="AC40" i="2"/>
  <c r="X40" i="2"/>
  <c r="L40" i="2"/>
  <c r="G40" i="2"/>
  <c r="M40" i="2"/>
  <c r="S40" i="2"/>
  <c r="Y40" i="2"/>
  <c r="AE40" i="2"/>
  <c r="H40" i="2"/>
  <c r="N40" i="2"/>
  <c r="T40" i="2"/>
  <c r="Z40" i="2"/>
  <c r="AF40" i="2"/>
  <c r="O40" i="2"/>
  <c r="U40" i="2"/>
  <c r="AA40" i="2"/>
  <c r="P40" i="2"/>
  <c r="AB40" i="2"/>
  <c r="K40" i="2"/>
  <c r="W40" i="2"/>
  <c r="R40" i="2"/>
  <c r="J39" i="2"/>
  <c r="P39" i="2"/>
  <c r="AB39" i="2"/>
  <c r="E39" i="2"/>
  <c r="K39" i="2"/>
  <c r="Q39" i="2"/>
  <c r="AC39" i="2"/>
  <c r="S39" i="2"/>
  <c r="F39" i="2"/>
  <c r="L39" i="2"/>
  <c r="R39" i="2"/>
  <c r="X39" i="2"/>
  <c r="AD39" i="2"/>
  <c r="G39" i="2"/>
  <c r="M39" i="2"/>
  <c r="AE39" i="2"/>
  <c r="H39" i="2"/>
  <c r="N39" i="2"/>
  <c r="T39" i="2"/>
  <c r="Z39" i="2"/>
  <c r="AF39" i="2"/>
  <c r="I39" i="2"/>
  <c r="O39" i="2"/>
  <c r="U39" i="2"/>
  <c r="AA39" i="2"/>
  <c r="AG39" i="2"/>
  <c r="V39" i="2"/>
  <c r="AH39" i="2"/>
  <c r="W39" i="2"/>
  <c r="Y39" i="2"/>
  <c r="F37" i="2"/>
  <c r="L37" i="2"/>
  <c r="R37" i="2"/>
  <c r="X37" i="2"/>
  <c r="AD37" i="2"/>
  <c r="G37" i="2"/>
  <c r="M37" i="2"/>
  <c r="S37" i="2"/>
  <c r="Y37" i="2"/>
  <c r="AE37" i="2"/>
  <c r="H37" i="2"/>
  <c r="N37" i="2"/>
  <c r="T37" i="2"/>
  <c r="Z37" i="2"/>
  <c r="AF37" i="2"/>
  <c r="I37" i="2"/>
  <c r="O37" i="2"/>
  <c r="U37" i="2"/>
  <c r="AA37" i="2"/>
  <c r="AG37" i="2"/>
  <c r="J37" i="2"/>
  <c r="P37" i="2"/>
  <c r="V37" i="2"/>
  <c r="AB37" i="2"/>
  <c r="AH37" i="2"/>
  <c r="E37" i="2"/>
  <c r="K37" i="2"/>
  <c r="Q37" i="2"/>
  <c r="W37" i="2"/>
  <c r="AC37" i="2"/>
  <c r="D38" i="2"/>
  <c r="D37" i="2"/>
  <c r="D40" i="2"/>
  <c r="D39" i="2"/>
  <c r="AF46" i="2" l="1"/>
  <c r="H44" i="2"/>
  <c r="U46" i="2"/>
  <c r="J48" i="2"/>
  <c r="N44" i="2"/>
  <c r="L44" i="2"/>
  <c r="Z45" i="2"/>
  <c r="G48" i="2"/>
  <c r="I44" i="2"/>
  <c r="AG48" i="2"/>
  <c r="W44" i="2"/>
  <c r="AA48" i="2"/>
  <c r="AH46" i="2"/>
  <c r="H48" i="2"/>
  <c r="V48" i="2"/>
  <c r="W48" i="2"/>
  <c r="AA44" i="2"/>
  <c r="K44" i="2"/>
  <c r="AD48" i="2"/>
  <c r="O48" i="2"/>
  <c r="M48" i="2"/>
  <c r="I48" i="2"/>
  <c r="AB48" i="2"/>
  <c r="AE48" i="2"/>
  <c r="U48" i="2"/>
  <c r="E48" i="2"/>
  <c r="F46" i="2"/>
  <c r="E46" i="2"/>
  <c r="X48" i="2"/>
  <c r="F44" i="2"/>
  <c r="E44" i="2"/>
  <c r="L45" i="2"/>
  <c r="P48" i="2"/>
  <c r="L48" i="2"/>
  <c r="Z48" i="2"/>
  <c r="AC48" i="2"/>
  <c r="N48" i="2"/>
  <c r="Y48" i="2"/>
  <c r="Q48" i="2"/>
  <c r="K48" i="2"/>
  <c r="R44" i="2"/>
  <c r="P45" i="2"/>
  <c r="G45" i="2"/>
  <c r="E45" i="2"/>
  <c r="V46" i="2"/>
  <c r="F45" i="2"/>
  <c r="AE45" i="2"/>
  <c r="M45" i="2"/>
  <c r="O45" i="2"/>
  <c r="AG45" i="2"/>
  <c r="H45" i="2"/>
  <c r="AB45" i="2"/>
  <c r="AC45" i="2"/>
  <c r="W46" i="2"/>
  <c r="I45" i="2"/>
  <c r="R45" i="2"/>
  <c r="M46" i="2"/>
  <c r="K46" i="2"/>
  <c r="S48" i="2"/>
  <c r="AF48" i="2"/>
  <c r="V45" i="2"/>
  <c r="O46" i="2"/>
  <c r="W45" i="2"/>
  <c r="R48" i="2"/>
  <c r="J45" i="2"/>
  <c r="P46" i="2"/>
  <c r="AA46" i="2"/>
  <c r="T46" i="2"/>
  <c r="P44" i="2"/>
  <c r="V44" i="2"/>
  <c r="S45" i="2"/>
  <c r="Z46" i="2"/>
  <c r="AD44" i="2"/>
  <c r="R46" i="2"/>
  <c r="Q45" i="2"/>
  <c r="Y45" i="2"/>
  <c r="AF45" i="2"/>
  <c r="X46" i="2"/>
  <c r="J46" i="2"/>
  <c r="AA45" i="2"/>
  <c r="T45" i="2"/>
  <c r="X45" i="2"/>
  <c r="T44" i="2"/>
  <c r="N46" i="2"/>
  <c r="K45" i="2"/>
  <c r="AD45" i="2"/>
  <c r="Y46" i="2"/>
  <c r="AE44" i="2"/>
  <c r="O44" i="2"/>
  <c r="AG46" i="2"/>
  <c r="Q46" i="2"/>
  <c r="G46" i="2"/>
  <c r="L46" i="2"/>
  <c r="AE46" i="2"/>
  <c r="U45" i="2"/>
  <c r="N45" i="2"/>
  <c r="G44" i="2"/>
  <c r="Z44" i="2"/>
  <c r="Y44" i="2"/>
  <c r="M44" i="2"/>
  <c r="AH44" i="2"/>
  <c r="X44" i="2"/>
  <c r="Q44" i="2"/>
  <c r="U44" i="2"/>
  <c r="S44" i="2"/>
  <c r="J44" i="2"/>
  <c r="AC51" i="2"/>
  <c r="E50" i="2"/>
  <c r="Z50" i="2"/>
  <c r="H52" i="2"/>
  <c r="AG50" i="2"/>
  <c r="J50" i="2"/>
  <c r="AH52" i="2"/>
  <c r="V51" i="2"/>
  <c r="Y50" i="2"/>
  <c r="AG52" i="2"/>
  <c r="AF52" i="2"/>
  <c r="T52" i="2"/>
  <c r="AE50" i="2"/>
  <c r="M50" i="2"/>
  <c r="F50" i="2"/>
  <c r="AH50" i="2"/>
  <c r="V50" i="2"/>
  <c r="AG51" i="2"/>
  <c r="S52" i="2"/>
  <c r="AD50" i="2"/>
  <c r="AG49" i="2"/>
  <c r="AC50" i="2"/>
  <c r="AE49" i="2"/>
  <c r="AH51" i="2"/>
  <c r="AF51" i="2"/>
  <c r="K50" i="2"/>
  <c r="AB49" i="2"/>
  <c r="S50" i="2"/>
  <c r="O51" i="2"/>
  <c r="L50" i="2"/>
  <c r="AB52" i="2"/>
  <c r="Z49" i="2"/>
  <c r="AA50" i="2"/>
  <c r="Y52" i="2"/>
  <c r="AB50" i="2"/>
  <c r="R50" i="2"/>
  <c r="G52" i="2"/>
  <c r="R52" i="2"/>
  <c r="H49" i="2"/>
  <c r="Q49" i="2"/>
  <c r="T50" i="2"/>
  <c r="X50" i="2"/>
  <c r="N50" i="2"/>
  <c r="U50" i="2"/>
  <c r="AB51" i="2"/>
  <c r="AA51" i="2"/>
  <c r="U51" i="2"/>
  <c r="O49" i="2"/>
  <c r="K51" i="2"/>
  <c r="AA49" i="2"/>
  <c r="H50" i="2"/>
  <c r="AB44" i="2"/>
  <c r="AC44" i="2"/>
  <c r="M52" i="2"/>
  <c r="E51" i="2"/>
  <c r="O50" i="2"/>
  <c r="F51" i="2"/>
  <c r="AD51" i="2"/>
  <c r="N52" i="2"/>
  <c r="U49" i="2"/>
  <c r="J52" i="2"/>
  <c r="AA52" i="2"/>
  <c r="E52" i="2"/>
  <c r="AC52" i="2"/>
  <c r="K52" i="2"/>
  <c r="AD52" i="2"/>
  <c r="W51" i="2"/>
  <c r="F52" i="2"/>
  <c r="G50" i="2"/>
  <c r="Q52" i="2"/>
  <c r="L51" i="2"/>
  <c r="I52" i="2"/>
  <c r="P51" i="2"/>
  <c r="X52" i="2"/>
  <c r="Y49" i="2"/>
  <c r="I50" i="2"/>
  <c r="Z52" i="2"/>
  <c r="Q50" i="2"/>
  <c r="X49" i="2"/>
  <c r="N51" i="2"/>
  <c r="F49" i="2"/>
  <c r="V52" i="2"/>
  <c r="R51" i="2"/>
  <c r="M49" i="2"/>
  <c r="L49" i="2"/>
  <c r="G49" i="2"/>
  <c r="AF50" i="2"/>
  <c r="W50" i="2"/>
  <c r="N49" i="2"/>
  <c r="T49" i="2"/>
  <c r="I49" i="2"/>
  <c r="AH49" i="2"/>
  <c r="W49" i="2"/>
  <c r="AF49" i="2"/>
  <c r="W52" i="2"/>
  <c r="S49" i="2"/>
  <c r="E49" i="2"/>
  <c r="AD49" i="2"/>
  <c r="V49" i="2"/>
  <c r="R49" i="2"/>
  <c r="J49" i="2"/>
  <c r="K49" i="2"/>
  <c r="AC49" i="2"/>
  <c r="P49" i="2"/>
  <c r="L52" i="2"/>
  <c r="J51" i="2"/>
  <c r="I51" i="2"/>
  <c r="X51" i="2"/>
  <c r="AE51" i="2"/>
  <c r="M51" i="2"/>
  <c r="Q51" i="2"/>
  <c r="G51" i="2"/>
  <c r="H51" i="2"/>
  <c r="S51" i="2"/>
  <c r="T51" i="2"/>
  <c r="P50" i="2"/>
  <c r="Z51" i="2"/>
  <c r="Y51" i="2"/>
  <c r="AE52" i="2"/>
  <c r="U52" i="2"/>
  <c r="P52" i="2"/>
  <c r="O52" i="2"/>
  <c r="AF44" i="2" l="1"/>
  <c r="AG44" i="2"/>
</calcChain>
</file>

<file path=xl/sharedStrings.xml><?xml version="1.0" encoding="utf-8"?>
<sst xmlns="http://schemas.openxmlformats.org/spreadsheetml/2006/main" count="31" uniqueCount="31">
  <si>
    <t>Position</t>
  </si>
  <si>
    <t>*** Cette feuille doit rester masquée ***</t>
  </si>
  <si>
    <t>Aujourd’hui :</t>
  </si>
  <si>
    <t>Début du projet</t>
  </si>
  <si>
    <t>Jalon 1</t>
  </si>
  <si>
    <t>Aujourd’hui</t>
  </si>
  <si>
    <t>Jalon 2</t>
  </si>
  <si>
    <t>Jalon 3</t>
  </si>
  <si>
    <t>Jalon 4</t>
  </si>
  <si>
    <t>Jalon 5</t>
  </si>
  <si>
    <t>Jalon 6</t>
  </si>
  <si>
    <t>Jalon 7</t>
  </si>
  <si>
    <t>Jalon 8</t>
  </si>
  <si>
    <t>Jalon 9</t>
  </si>
  <si>
    <t>Jalon 10</t>
  </si>
  <si>
    <t>Fin du projet</t>
  </si>
  <si>
    <t>CHRONOLOGIE DU PROJET</t>
  </si>
  <si>
    <t xml:space="preserve">ENTRER LA DATE DE DÉBUT : </t>
  </si>
  <si>
    <t>ACTIVITÉ</t>
  </si>
  <si>
    <t>DÉBUT</t>
  </si>
  <si>
    <t>FIN</t>
  </si>
  <si>
    <t>REMARQUES</t>
  </si>
  <si>
    <t>Calcul fenêtre de début</t>
  </si>
  <si>
    <t>Décalage</t>
  </si>
  <si>
    <t>Début</t>
  </si>
  <si>
    <t>Fenêtre</t>
  </si>
  <si>
    <t>Série</t>
  </si>
  <si>
    <t>ID d’activité</t>
  </si>
  <si>
    <t>Activité</t>
  </si>
  <si>
    <t>Fenêtre Activités :</t>
  </si>
  <si>
    <t>ID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</si>
</sst>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m\ yyyy"/>
  </numFmts>
  <fonts count="6" x14ac:knownFonts="1">
    <font>
      <sz val="10"/>
      <color theme="3"/>
      <name val="Calibri"/>
      <family val="2"/>
      <scheme val="minor"/>
    </font>
    <font>
      <b/>
      <sz val="22"/>
      <color theme="1"/>
      <name val="Calibri"/>
      <family val="2"/>
      <scheme val="minor"/>
    </font>
    <font>
      <sz val="10"/>
      <color theme="3" tint="0.39997558519241921"/>
      <name val="Calibri"/>
      <family val="2"/>
      <scheme val="minor"/>
    </font>
    <font>
      <sz val="14"/>
      <color theme="3" tint="0.39997558519241921"/>
      <name val="Calibri"/>
      <family val="2"/>
      <scheme val="minor"/>
    </font>
    <font>
      <sz val="12"/>
      <color theme="3"/>
      <name val="Calibri"/>
      <family val="2"/>
      <scheme val="minor"/>
    </font>
    <font>
      <sz val="30"/>
      <color theme="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3"/>
        <bgColor indexed="64"/>
      </patternFill>
    </fill>
  </fills>
  <borders count="4">
    <border>
      <left/>
      <right/>
      <top/>
      <bottom/>
      <diagonal/>
    </border>
    <border>
      <left/>
      <right/>
      <top/>
      <bottom style="thick">
        <color theme="4"/>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right style="medium">
        <color theme="3"/>
      </right>
      <top/>
      <bottom style="thick">
        <color theme="4"/>
      </bottom>
      <diagonal/>
    </border>
  </borders>
  <cellStyleXfs count="1">
    <xf numFmtId="0" fontId="0" fillId="0" borderId="0">
      <alignment vertical="center"/>
    </xf>
  </cellStyleXfs>
  <cellXfs count="20">
    <xf numFmtId="0" fontId="0" fillId="0" borderId="0" xfId="0">
      <alignment vertical="center"/>
    </xf>
    <xf numFmtId="14" fontId="0" fillId="0" borderId="0" xfId="0" applyNumberFormat="1">
      <alignment vertical="center"/>
    </xf>
    <xf numFmtId="16" fontId="0" fillId="0" borderId="0" xfId="0" applyNumberFormat="1">
      <alignment vertical="center"/>
    </xf>
    <xf numFmtId="164" fontId="0" fillId="0" borderId="0" xfId="0" applyNumberFormat="1">
      <alignment vertical="center"/>
    </xf>
    <xf numFmtId="0" fontId="0" fillId="3" borderId="1" xfId="0" applyFill="1" applyBorder="1" applyProtection="1">
      <alignment vertical="center"/>
    </xf>
    <xf numFmtId="0" fontId="0" fillId="2" borderId="1" xfId="0" applyFill="1" applyBorder="1" applyProtection="1">
      <alignment vertical="center"/>
    </xf>
    <xf numFmtId="0" fontId="0" fillId="3" borderId="3" xfId="0" applyFill="1" applyBorder="1" applyProtection="1">
      <alignment vertical="center"/>
    </xf>
    <xf numFmtId="0" fontId="0" fillId="2" borderId="0" xfId="0" applyFill="1" applyProtection="1">
      <alignment vertical="center"/>
    </xf>
    <xf numFmtId="0" fontId="0" fillId="0" borderId="0" xfId="0" applyProtection="1">
      <alignment vertical="center"/>
    </xf>
    <xf numFmtId="0" fontId="1" fillId="0" borderId="0" xfId="0" applyFont="1" applyProtection="1">
      <alignment vertical="center"/>
    </xf>
    <xf numFmtId="0" fontId="0" fillId="0" borderId="1" xfId="0" applyBorder="1" applyProtection="1">
      <alignment vertical="center"/>
    </xf>
    <xf numFmtId="0" fontId="0" fillId="0" borderId="0" xfId="0" applyFill="1" applyProtection="1">
      <alignment vertical="center"/>
    </xf>
    <xf numFmtId="0" fontId="0" fillId="0" borderId="0" xfId="0" applyFont="1" applyFill="1" applyBorder="1" applyProtection="1">
      <alignment vertical="center"/>
    </xf>
    <xf numFmtId="0" fontId="4" fillId="0" borderId="0" xfId="0" applyFont="1" applyFill="1" applyBorder="1" applyAlignment="1" applyProtection="1">
      <alignment horizontal="left" vertical="center" indent="1"/>
    </xf>
    <xf numFmtId="0" fontId="0" fillId="0" borderId="0" xfId="0" applyFont="1" applyFill="1" applyBorder="1" applyAlignment="1" applyProtection="1">
      <alignment horizontal="left" vertical="center" indent="1"/>
    </xf>
    <xf numFmtId="14" fontId="0" fillId="0" borderId="0" xfId="0" applyNumberFormat="1" applyFont="1" applyFill="1" applyBorder="1" applyAlignment="1" applyProtection="1">
      <alignment horizontal="left" vertical="center" indent="1"/>
    </xf>
    <xf numFmtId="0" fontId="0" fillId="0" borderId="0" xfId="0" applyNumberFormat="1" applyFont="1" applyFill="1" applyBorder="1" applyProtection="1">
      <alignment vertical="center"/>
    </xf>
    <xf numFmtId="0" fontId="3" fillId="0" borderId="0" xfId="0" applyFont="1" applyFill="1" applyAlignment="1" applyProtection="1">
      <alignment horizontal="right"/>
    </xf>
    <xf numFmtId="14" fontId="2" fillId="0" borderId="2" xfId="0" applyNumberFormat="1" applyFont="1" applyFill="1" applyBorder="1" applyAlignment="1" applyProtection="1">
      <alignment horizontal="center" vertical="center"/>
    </xf>
    <xf numFmtId="0" fontId="5" fillId="3" borderId="1" xfId="0" applyFont="1" applyFill="1" applyBorder="1" applyAlignment="1" applyProtection="1">
      <alignment horizontal="left" vertical="center"/>
    </xf>
  </cellXfs>
  <cellStyles count="1">
    <cellStyle name="Normal" xfId="0" builtinId="0" customBuiltin="1"/>
  </cellStyles>
  <dxfs count="11">
    <dxf>
      <alignment horizontal="left" vertical="center" textRotation="0" wrapText="0" indent="1" justifyLastLine="0" shrinkToFit="0" readingOrder="0"/>
      <protection locked="1" hidden="0"/>
    </dxf>
    <dxf>
      <numFmt numFmtId="165" formatCode="mm/dd/yyyy"/>
      <alignment horizontal="left" vertical="center" textRotation="0" wrapText="0" indent="1" justifyLastLine="0" shrinkToFit="0" readingOrder="0"/>
      <protection locked="1" hidden="0"/>
    </dxf>
    <dxf>
      <numFmt numFmtId="165" formatCode="mm/dd/yyyy"/>
      <alignment horizontal="left" vertical="center" textRotation="0" wrapText="0" indent="1" justifyLastLine="0" shrinkToFit="0" readingOrder="0"/>
      <protection locked="1" hidden="0"/>
    </dxf>
    <dxf>
      <alignment horizontal="left" vertical="center" textRotation="0" wrapText="0" indent="1" justifyLastLine="0" shrinkToFit="0" readingOrder="0"/>
      <protection locked="1" hidden="0"/>
    </dxf>
    <dxf>
      <protection locked="1" hidden="0"/>
    </dxf>
    <dxf>
      <protection locked="1" hidden="0"/>
    </dxf>
    <dxf>
      <protection locked="1" hidden="0"/>
    </dxf>
    <dxf>
      <font>
        <color theme="3"/>
      </font>
      <fill>
        <patternFill>
          <bgColor theme="2"/>
        </patternFill>
      </fill>
    </dxf>
    <dxf>
      <font>
        <color theme="3"/>
      </font>
    </dxf>
    <dxf>
      <font>
        <color theme="0"/>
      </font>
      <fill>
        <patternFill patternType="solid">
          <fgColor theme="4"/>
          <bgColor theme="3"/>
        </patternFill>
      </fill>
      <border diagonalUp="0" diagonalDown="0">
        <left/>
        <right/>
        <top/>
        <bottom/>
        <vertical/>
        <horizontal/>
      </border>
    </dxf>
    <dxf>
      <font>
        <color theme="1"/>
      </font>
      <border diagonalUp="0" diagonalDown="0">
        <left/>
        <right/>
        <top/>
        <bottom/>
        <vertical style="thin">
          <color theme="3" tint="0.59996337778862885"/>
        </vertical>
        <horizontal/>
      </border>
    </dxf>
  </dxfs>
  <tableStyles count="1" defaultTableStyle="TableStyleMedium2" defaultPivotStyle="PivotStyleLight8">
    <tableStyle name="Project Timeline" pivot="0" count="4">
      <tableStyleElement type="wholeTable" dxfId="10"/>
      <tableStyleElement type="headerRow" dxfId="9"/>
      <tableStyleElement type="firstRowStripe" dxfId="8"/>
      <tableStyleElement type="secondRowStripe" dxfId="7"/>
    </tableStyle>
  </tableStyles>
  <colors>
    <mruColors>
      <color rgb="FFCCFFCC"/>
      <color rgb="FFD1CBE1"/>
      <color rgb="FFFED9CD"/>
      <color rgb="FFFF5757"/>
      <color rgb="FFFAEB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lineChart>
        <c:grouping val="standard"/>
        <c:varyColors val="0"/>
        <c:ser>
          <c:idx val="0"/>
          <c:order val="0"/>
          <c:tx>
            <c:strRef>
              <c:f>calculs!$B$32</c:f>
              <c:strCache>
                <c:ptCount val="1"/>
                <c:pt idx="0">
                  <c:v>1</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cat>
            <c:numRef>
              <c:f>calculs!$E$31:$AH$31</c:f>
              <c:numCache>
                <c:formatCode>m/d/yyyy</c:formatCode>
                <c:ptCount val="30"/>
                <c:pt idx="0">
                  <c:v>41142</c:v>
                </c:pt>
                <c:pt idx="1">
                  <c:v>41143</c:v>
                </c:pt>
                <c:pt idx="2">
                  <c:v>41144</c:v>
                </c:pt>
                <c:pt idx="3">
                  <c:v>41145</c:v>
                </c:pt>
                <c:pt idx="4">
                  <c:v>41146</c:v>
                </c:pt>
                <c:pt idx="5">
                  <c:v>41147</c:v>
                </c:pt>
                <c:pt idx="6">
                  <c:v>41148</c:v>
                </c:pt>
                <c:pt idx="7">
                  <c:v>41149</c:v>
                </c:pt>
                <c:pt idx="8">
                  <c:v>41150</c:v>
                </c:pt>
                <c:pt idx="9">
                  <c:v>41151</c:v>
                </c:pt>
                <c:pt idx="10">
                  <c:v>41152</c:v>
                </c:pt>
                <c:pt idx="11">
                  <c:v>41153</c:v>
                </c:pt>
                <c:pt idx="12">
                  <c:v>41154</c:v>
                </c:pt>
                <c:pt idx="13">
                  <c:v>41155</c:v>
                </c:pt>
                <c:pt idx="14">
                  <c:v>41156</c:v>
                </c:pt>
                <c:pt idx="15">
                  <c:v>41157</c:v>
                </c:pt>
                <c:pt idx="16">
                  <c:v>41158</c:v>
                </c:pt>
                <c:pt idx="17">
                  <c:v>41159</c:v>
                </c:pt>
                <c:pt idx="18">
                  <c:v>41160</c:v>
                </c:pt>
                <c:pt idx="19">
                  <c:v>41161</c:v>
                </c:pt>
                <c:pt idx="20">
                  <c:v>41162</c:v>
                </c:pt>
                <c:pt idx="21">
                  <c:v>41163</c:v>
                </c:pt>
                <c:pt idx="22">
                  <c:v>41164</c:v>
                </c:pt>
                <c:pt idx="23">
                  <c:v>41165</c:v>
                </c:pt>
                <c:pt idx="24">
                  <c:v>41166</c:v>
                </c:pt>
                <c:pt idx="25">
                  <c:v>41167</c:v>
                </c:pt>
                <c:pt idx="26">
                  <c:v>41168</c:v>
                </c:pt>
                <c:pt idx="27">
                  <c:v>41169</c:v>
                </c:pt>
                <c:pt idx="28">
                  <c:v>41170</c:v>
                </c:pt>
                <c:pt idx="29">
                  <c:v>41171</c:v>
                </c:pt>
              </c:numCache>
            </c:numRef>
          </c:cat>
          <c:val>
            <c:numRef>
              <c:f>calculs!$E$32:$AH$32</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5"/>
          <c:order val="1"/>
          <c:tx>
            <c:strRef>
              <c:f>calculs!$D$44</c:f>
              <c:strCache>
                <c:ptCount val="1"/>
                <c:pt idx="0">
                  <c:v>#N/A</c:v>
                </c:pt>
              </c:strCache>
            </c:strRef>
          </c:tx>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calculs!$E$44:$AH$44</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
          <c:order val="2"/>
          <c:tx>
            <c:strRef>
              <c:f>calculs!$B$33</c:f>
              <c:strCache>
                <c:ptCount val="1"/>
                <c:pt idx="0">
                  <c:v>2</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w="9525">
                <a:noFill/>
              </a:ln>
            </c:spPr>
          </c:marker>
          <c:cat>
            <c:numRef>
              <c:f>calculs!$E$31:$AH$31</c:f>
              <c:numCache>
                <c:formatCode>m/d/yyyy</c:formatCode>
                <c:ptCount val="30"/>
                <c:pt idx="0">
                  <c:v>41142</c:v>
                </c:pt>
                <c:pt idx="1">
                  <c:v>41143</c:v>
                </c:pt>
                <c:pt idx="2">
                  <c:v>41144</c:v>
                </c:pt>
                <c:pt idx="3">
                  <c:v>41145</c:v>
                </c:pt>
                <c:pt idx="4">
                  <c:v>41146</c:v>
                </c:pt>
                <c:pt idx="5">
                  <c:v>41147</c:v>
                </c:pt>
                <c:pt idx="6">
                  <c:v>41148</c:v>
                </c:pt>
                <c:pt idx="7">
                  <c:v>41149</c:v>
                </c:pt>
                <c:pt idx="8">
                  <c:v>41150</c:v>
                </c:pt>
                <c:pt idx="9">
                  <c:v>41151</c:v>
                </c:pt>
                <c:pt idx="10">
                  <c:v>41152</c:v>
                </c:pt>
                <c:pt idx="11">
                  <c:v>41153</c:v>
                </c:pt>
                <c:pt idx="12">
                  <c:v>41154</c:v>
                </c:pt>
                <c:pt idx="13">
                  <c:v>41155</c:v>
                </c:pt>
                <c:pt idx="14">
                  <c:v>41156</c:v>
                </c:pt>
                <c:pt idx="15">
                  <c:v>41157</c:v>
                </c:pt>
                <c:pt idx="16">
                  <c:v>41158</c:v>
                </c:pt>
                <c:pt idx="17">
                  <c:v>41159</c:v>
                </c:pt>
                <c:pt idx="18">
                  <c:v>41160</c:v>
                </c:pt>
                <c:pt idx="19">
                  <c:v>41161</c:v>
                </c:pt>
                <c:pt idx="20">
                  <c:v>41162</c:v>
                </c:pt>
                <c:pt idx="21">
                  <c:v>41163</c:v>
                </c:pt>
                <c:pt idx="22">
                  <c:v>41164</c:v>
                </c:pt>
                <c:pt idx="23">
                  <c:v>41165</c:v>
                </c:pt>
                <c:pt idx="24">
                  <c:v>41166</c:v>
                </c:pt>
                <c:pt idx="25">
                  <c:v>41167</c:v>
                </c:pt>
                <c:pt idx="26">
                  <c:v>41168</c:v>
                </c:pt>
                <c:pt idx="27">
                  <c:v>41169</c:v>
                </c:pt>
                <c:pt idx="28">
                  <c:v>41170</c:v>
                </c:pt>
                <c:pt idx="29">
                  <c:v>41171</c:v>
                </c:pt>
              </c:numCache>
            </c:numRef>
          </c:cat>
          <c:val>
            <c:numRef>
              <c:f>calculs!$E$33:$AH$33</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6"/>
          <c:order val="3"/>
          <c:tx>
            <c:strRef>
              <c:f>calculs!$D$45</c:f>
              <c:strCache>
                <c:ptCount val="1"/>
                <c:pt idx="0">
                  <c:v>#N/A</c:v>
                </c:pt>
              </c:strCache>
            </c:strRef>
          </c:tx>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calculs!$E$45:$AH$45</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2"/>
          <c:order val="4"/>
          <c:tx>
            <c:strRef>
              <c:f>calculs!$B$34</c:f>
              <c:strCache>
                <c:ptCount val="1"/>
                <c:pt idx="0">
                  <c:v>3</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cat>
            <c:numRef>
              <c:f>calculs!$E$31:$AH$31</c:f>
              <c:numCache>
                <c:formatCode>m/d/yyyy</c:formatCode>
                <c:ptCount val="30"/>
                <c:pt idx="0">
                  <c:v>41142</c:v>
                </c:pt>
                <c:pt idx="1">
                  <c:v>41143</c:v>
                </c:pt>
                <c:pt idx="2">
                  <c:v>41144</c:v>
                </c:pt>
                <c:pt idx="3">
                  <c:v>41145</c:v>
                </c:pt>
                <c:pt idx="4">
                  <c:v>41146</c:v>
                </c:pt>
                <c:pt idx="5">
                  <c:v>41147</c:v>
                </c:pt>
                <c:pt idx="6">
                  <c:v>41148</c:v>
                </c:pt>
                <c:pt idx="7">
                  <c:v>41149</c:v>
                </c:pt>
                <c:pt idx="8">
                  <c:v>41150</c:v>
                </c:pt>
                <c:pt idx="9">
                  <c:v>41151</c:v>
                </c:pt>
                <c:pt idx="10">
                  <c:v>41152</c:v>
                </c:pt>
                <c:pt idx="11">
                  <c:v>41153</c:v>
                </c:pt>
                <c:pt idx="12">
                  <c:v>41154</c:v>
                </c:pt>
                <c:pt idx="13">
                  <c:v>41155</c:v>
                </c:pt>
                <c:pt idx="14">
                  <c:v>41156</c:v>
                </c:pt>
                <c:pt idx="15">
                  <c:v>41157</c:v>
                </c:pt>
                <c:pt idx="16">
                  <c:v>41158</c:v>
                </c:pt>
                <c:pt idx="17">
                  <c:v>41159</c:v>
                </c:pt>
                <c:pt idx="18">
                  <c:v>41160</c:v>
                </c:pt>
                <c:pt idx="19">
                  <c:v>41161</c:v>
                </c:pt>
                <c:pt idx="20">
                  <c:v>41162</c:v>
                </c:pt>
                <c:pt idx="21">
                  <c:v>41163</c:v>
                </c:pt>
                <c:pt idx="22">
                  <c:v>41164</c:v>
                </c:pt>
                <c:pt idx="23">
                  <c:v>41165</c:v>
                </c:pt>
                <c:pt idx="24">
                  <c:v>41166</c:v>
                </c:pt>
                <c:pt idx="25">
                  <c:v>41167</c:v>
                </c:pt>
                <c:pt idx="26">
                  <c:v>41168</c:v>
                </c:pt>
                <c:pt idx="27">
                  <c:v>41169</c:v>
                </c:pt>
                <c:pt idx="28">
                  <c:v>41170</c:v>
                </c:pt>
                <c:pt idx="29">
                  <c:v>41171</c:v>
                </c:pt>
              </c:numCache>
            </c:numRef>
          </c:cat>
          <c:val>
            <c:numRef>
              <c:f>calculs!$E$34:$AH$34</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7"/>
          <c:order val="5"/>
          <c:tx>
            <c:strRef>
              <c:f>calculs!$D$46</c:f>
              <c:strCache>
                <c:ptCount val="1"/>
                <c:pt idx="0">
                  <c:v>#N/A</c:v>
                </c:pt>
              </c:strCache>
            </c:strRef>
          </c:tx>
          <c:spPr>
            <a:ln cap="sq"/>
          </c:spPr>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calculs!$E$46:$AH$46</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3"/>
          <c:order val="6"/>
          <c:tx>
            <c:strRef>
              <c:f>calculs!$B$35</c:f>
              <c:strCache>
                <c:ptCount val="1"/>
                <c:pt idx="0">
                  <c:v>4</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cat>
            <c:numRef>
              <c:f>calculs!$E$31:$AH$31</c:f>
              <c:numCache>
                <c:formatCode>m/d/yyyy</c:formatCode>
                <c:ptCount val="30"/>
                <c:pt idx="0">
                  <c:v>41142</c:v>
                </c:pt>
                <c:pt idx="1">
                  <c:v>41143</c:v>
                </c:pt>
                <c:pt idx="2">
                  <c:v>41144</c:v>
                </c:pt>
                <c:pt idx="3">
                  <c:v>41145</c:v>
                </c:pt>
                <c:pt idx="4">
                  <c:v>41146</c:v>
                </c:pt>
                <c:pt idx="5">
                  <c:v>41147</c:v>
                </c:pt>
                <c:pt idx="6">
                  <c:v>41148</c:v>
                </c:pt>
                <c:pt idx="7">
                  <c:v>41149</c:v>
                </c:pt>
                <c:pt idx="8">
                  <c:v>41150</c:v>
                </c:pt>
                <c:pt idx="9">
                  <c:v>41151</c:v>
                </c:pt>
                <c:pt idx="10">
                  <c:v>41152</c:v>
                </c:pt>
                <c:pt idx="11">
                  <c:v>41153</c:v>
                </c:pt>
                <c:pt idx="12">
                  <c:v>41154</c:v>
                </c:pt>
                <c:pt idx="13">
                  <c:v>41155</c:v>
                </c:pt>
                <c:pt idx="14">
                  <c:v>41156</c:v>
                </c:pt>
                <c:pt idx="15">
                  <c:v>41157</c:v>
                </c:pt>
                <c:pt idx="16">
                  <c:v>41158</c:v>
                </c:pt>
                <c:pt idx="17">
                  <c:v>41159</c:v>
                </c:pt>
                <c:pt idx="18">
                  <c:v>41160</c:v>
                </c:pt>
                <c:pt idx="19">
                  <c:v>41161</c:v>
                </c:pt>
                <c:pt idx="20">
                  <c:v>41162</c:v>
                </c:pt>
                <c:pt idx="21">
                  <c:v>41163</c:v>
                </c:pt>
                <c:pt idx="22">
                  <c:v>41164</c:v>
                </c:pt>
                <c:pt idx="23">
                  <c:v>41165</c:v>
                </c:pt>
                <c:pt idx="24">
                  <c:v>41166</c:v>
                </c:pt>
                <c:pt idx="25">
                  <c:v>41167</c:v>
                </c:pt>
                <c:pt idx="26">
                  <c:v>41168</c:v>
                </c:pt>
                <c:pt idx="27">
                  <c:v>41169</c:v>
                </c:pt>
                <c:pt idx="28">
                  <c:v>41170</c:v>
                </c:pt>
                <c:pt idx="29">
                  <c:v>41171</c:v>
                </c:pt>
              </c:numCache>
            </c:numRef>
          </c:cat>
          <c:val>
            <c:numRef>
              <c:f>calculs!$E$35:$AH$35</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8"/>
          <c:order val="7"/>
          <c:tx>
            <c:strRef>
              <c:f>calculs!$D$47</c:f>
              <c:strCache>
                <c:ptCount val="1"/>
                <c:pt idx="0">
                  <c:v>#N/A</c:v>
                </c:pt>
              </c:strCache>
            </c:strRef>
          </c:tx>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calculs!$E$47:$AH$47</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4"/>
          <c:order val="8"/>
          <c:tx>
            <c:strRef>
              <c:f>calculs!$B$36</c:f>
              <c:strCache>
                <c:ptCount val="1"/>
                <c:pt idx="0">
                  <c:v>5</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cat>
            <c:numRef>
              <c:f>calculs!$E$31:$AH$31</c:f>
              <c:numCache>
                <c:formatCode>m/d/yyyy</c:formatCode>
                <c:ptCount val="30"/>
                <c:pt idx="0">
                  <c:v>41142</c:v>
                </c:pt>
                <c:pt idx="1">
                  <c:v>41143</c:v>
                </c:pt>
                <c:pt idx="2">
                  <c:v>41144</c:v>
                </c:pt>
                <c:pt idx="3">
                  <c:v>41145</c:v>
                </c:pt>
                <c:pt idx="4">
                  <c:v>41146</c:v>
                </c:pt>
                <c:pt idx="5">
                  <c:v>41147</c:v>
                </c:pt>
                <c:pt idx="6">
                  <c:v>41148</c:v>
                </c:pt>
                <c:pt idx="7">
                  <c:v>41149</c:v>
                </c:pt>
                <c:pt idx="8">
                  <c:v>41150</c:v>
                </c:pt>
                <c:pt idx="9">
                  <c:v>41151</c:v>
                </c:pt>
                <c:pt idx="10">
                  <c:v>41152</c:v>
                </c:pt>
                <c:pt idx="11">
                  <c:v>41153</c:v>
                </c:pt>
                <c:pt idx="12">
                  <c:v>41154</c:v>
                </c:pt>
                <c:pt idx="13">
                  <c:v>41155</c:v>
                </c:pt>
                <c:pt idx="14">
                  <c:v>41156</c:v>
                </c:pt>
                <c:pt idx="15">
                  <c:v>41157</c:v>
                </c:pt>
                <c:pt idx="16">
                  <c:v>41158</c:v>
                </c:pt>
                <c:pt idx="17">
                  <c:v>41159</c:v>
                </c:pt>
                <c:pt idx="18">
                  <c:v>41160</c:v>
                </c:pt>
                <c:pt idx="19">
                  <c:v>41161</c:v>
                </c:pt>
                <c:pt idx="20">
                  <c:v>41162</c:v>
                </c:pt>
                <c:pt idx="21">
                  <c:v>41163</c:v>
                </c:pt>
                <c:pt idx="22">
                  <c:v>41164</c:v>
                </c:pt>
                <c:pt idx="23">
                  <c:v>41165</c:v>
                </c:pt>
                <c:pt idx="24">
                  <c:v>41166</c:v>
                </c:pt>
                <c:pt idx="25">
                  <c:v>41167</c:v>
                </c:pt>
                <c:pt idx="26">
                  <c:v>41168</c:v>
                </c:pt>
                <c:pt idx="27">
                  <c:v>41169</c:v>
                </c:pt>
                <c:pt idx="28">
                  <c:v>41170</c:v>
                </c:pt>
                <c:pt idx="29">
                  <c:v>41171</c:v>
                </c:pt>
              </c:numCache>
            </c:numRef>
          </c:cat>
          <c:val>
            <c:numRef>
              <c:f>calculs!$E$36:$AH$36</c:f>
              <c:numCache>
                <c:formatCode>General</c:formatCode>
                <c:ptCount val="30"/>
                <c:pt idx="0">
                  <c:v>#N/A</c:v>
                </c:pt>
                <c:pt idx="1">
                  <c:v>#N/A</c:v>
                </c:pt>
                <c:pt idx="2">
                  <c:v>#N/A</c:v>
                </c:pt>
                <c:pt idx="3">
                  <c:v>7.3000000000000007</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9"/>
          <c:order val="9"/>
          <c:tx>
            <c:strRef>
              <c:f>calculs!$D$48</c:f>
              <c:strCache>
                <c:ptCount val="1"/>
                <c:pt idx="0">
                  <c:v>DÉBUT DU PROJET</c:v>
                </c:pt>
              </c:strCache>
            </c:strRef>
          </c:tx>
          <c:marker>
            <c:symbol val="circle"/>
            <c:size val="9"/>
            <c:spPr>
              <a:solidFill>
                <a:schemeClr val="accent1"/>
              </a:solidFill>
              <a:ln>
                <a:solidFill>
                  <a:schemeClr val="accent1"/>
                </a:solidFill>
              </a:ln>
            </c:spPr>
          </c:marker>
          <c:dLbls>
            <c:spPr>
              <a:noFill/>
              <a:ln>
                <a:noFill/>
              </a:ln>
              <a:effectLst/>
            </c:spPr>
            <c:txPr>
              <a:bodyPr wrap="square" lIns="38100" tIns="19050" rIns="38100" bIns="19050" anchor="ctr">
                <a:spAutoFit/>
              </a:bodyPr>
              <a:lstStyle/>
              <a:p>
                <a:pPr>
                  <a:defRPr sz="800" baseline="0"/>
                </a:pPr>
                <a:endParaRPr lang="fr-FR"/>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val>
            <c:numRef>
              <c:f>calculs!$E$48:$AH$48</c:f>
              <c:numCache>
                <c:formatCode>General</c:formatCode>
                <c:ptCount val="30"/>
                <c:pt idx="0">
                  <c:v>#N/A</c:v>
                </c:pt>
                <c:pt idx="1">
                  <c:v>#N/A</c:v>
                </c:pt>
                <c:pt idx="2">
                  <c:v>#N/A</c:v>
                </c:pt>
                <c:pt idx="3">
                  <c:v>7.3000000000000007</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0"/>
          <c:order val="10"/>
          <c:tx>
            <c:strRef>
              <c:f>calculs!$B$37</c:f>
              <c:strCache>
                <c:ptCount val="1"/>
                <c:pt idx="0">
                  <c:v>6</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val>
            <c:numRef>
              <c:f>calculs!$E$37:$AH$37</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6.3000000000000007</c:v>
                </c:pt>
                <c:pt idx="14">
                  <c:v>6.3000000000000007</c:v>
                </c:pt>
                <c:pt idx="15">
                  <c:v>6.3000000000000007</c:v>
                </c:pt>
                <c:pt idx="16">
                  <c:v>6.3000000000000007</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1"/>
          <c:order val="11"/>
          <c:tx>
            <c:strRef>
              <c:f>calculs!$D$49</c:f>
              <c:strCache>
                <c:ptCount val="1"/>
                <c:pt idx="0">
                  <c:v>JALON 1</c:v>
                </c:pt>
              </c:strCache>
            </c:strRef>
          </c:tx>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val>
            <c:numRef>
              <c:f>calculs!$E$49:$AH$49</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6.3000000000000007</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2"/>
          <c:order val="12"/>
          <c:tx>
            <c:strRef>
              <c:f>calculs!$B$38</c:f>
              <c:strCache>
                <c:ptCount val="1"/>
                <c:pt idx="0">
                  <c:v>7</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val>
            <c:numRef>
              <c:f>calculs!$E$38:$AH$38</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5.3000000000000007</c:v>
                </c:pt>
                <c:pt idx="15">
                  <c:v>5.3000000000000007</c:v>
                </c:pt>
                <c:pt idx="16">
                  <c:v>5.3000000000000007</c:v>
                </c:pt>
                <c:pt idx="17">
                  <c:v>5.3000000000000007</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3"/>
          <c:order val="13"/>
          <c:tx>
            <c:strRef>
              <c:f>calculs!$D$50</c:f>
              <c:strCache>
                <c:ptCount val="1"/>
                <c:pt idx="0">
                  <c:v>JALON 2</c:v>
                </c:pt>
              </c:strCache>
            </c:strRef>
          </c:tx>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val>
            <c:numRef>
              <c:f>calculs!$E$50:$AH$50</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5.3000000000000007</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4"/>
          <c:order val="14"/>
          <c:tx>
            <c:strRef>
              <c:f>calculs!$B$39</c:f>
              <c:strCache>
                <c:ptCount val="1"/>
                <c:pt idx="0">
                  <c:v>8</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val>
            <c:numRef>
              <c:f>calculs!$E$39:$AH$39</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4.3000000000000007</c:v>
                </c:pt>
                <c:pt idx="20">
                  <c:v>#N/A</c:v>
                </c:pt>
                <c:pt idx="21">
                  <c:v>#N/A</c:v>
                </c:pt>
                <c:pt idx="22">
                  <c:v>#N/A</c:v>
                </c:pt>
                <c:pt idx="23">
                  <c:v>#N/A</c:v>
                </c:pt>
                <c:pt idx="24">
                  <c:v>#N/A</c:v>
                </c:pt>
                <c:pt idx="25">
                  <c:v>#N/A</c:v>
                </c:pt>
                <c:pt idx="26">
                  <c:v>#N/A</c:v>
                </c:pt>
                <c:pt idx="27">
                  <c:v>#N/A</c:v>
                </c:pt>
                <c:pt idx="28">
                  <c:v>#N/A</c:v>
                </c:pt>
                <c:pt idx="29">
                  <c:v>#N/A</c:v>
                </c:pt>
              </c:numCache>
            </c:numRef>
          </c:val>
          <c:smooth val="0"/>
        </c:ser>
        <c:ser>
          <c:idx val="15"/>
          <c:order val="15"/>
          <c:tx>
            <c:strRef>
              <c:f>calculs!$D$51</c:f>
              <c:strCache>
                <c:ptCount val="1"/>
                <c:pt idx="0">
                  <c:v>JALON 3</c:v>
                </c:pt>
              </c:strCache>
            </c:strRef>
          </c:tx>
          <c:spPr>
            <a:ln cap="sq"/>
          </c:spPr>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val>
            <c:numRef>
              <c:f>calculs!$E$51:$AH$51</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4.3000000000000007</c:v>
                </c:pt>
                <c:pt idx="20">
                  <c:v>#N/A</c:v>
                </c:pt>
                <c:pt idx="21">
                  <c:v>#N/A</c:v>
                </c:pt>
                <c:pt idx="22">
                  <c:v>#N/A</c:v>
                </c:pt>
                <c:pt idx="23">
                  <c:v>#N/A</c:v>
                </c:pt>
                <c:pt idx="24">
                  <c:v>#N/A</c:v>
                </c:pt>
                <c:pt idx="25">
                  <c:v>#N/A</c:v>
                </c:pt>
                <c:pt idx="26">
                  <c:v>#N/A</c:v>
                </c:pt>
                <c:pt idx="27">
                  <c:v>#N/A</c:v>
                </c:pt>
                <c:pt idx="28">
                  <c:v>#N/A</c:v>
                </c:pt>
                <c:pt idx="29">
                  <c:v>#N/A</c:v>
                </c:pt>
              </c:numCache>
            </c:numRef>
          </c:val>
          <c:smooth val="0"/>
        </c:ser>
        <c:ser>
          <c:idx val="16"/>
          <c:order val="16"/>
          <c:tx>
            <c:strRef>
              <c:f>calculs!$B$40</c:f>
              <c:strCache>
                <c:ptCount val="1"/>
                <c:pt idx="0">
                  <c:v>9</c:v>
                </c:pt>
              </c:strCache>
            </c:strRef>
          </c:tx>
          <c:spPr>
            <a:ln w="193675" cap="sq">
              <a:solidFill>
                <a:schemeClr val="accent5">
                  <a:lumMod val="60000"/>
                  <a:lumOff val="40000"/>
                </a:schemeClr>
              </a:solidFill>
            </a:ln>
          </c:spPr>
          <c:marker>
            <c:symbol val="square"/>
            <c:size val="14"/>
            <c:spPr>
              <a:solidFill>
                <a:schemeClr val="accent5">
                  <a:lumMod val="60000"/>
                  <a:lumOff val="40000"/>
                </a:schemeClr>
              </a:solidFill>
              <a:ln>
                <a:noFill/>
              </a:ln>
            </c:spPr>
          </c:marker>
          <c:val>
            <c:numRef>
              <c:f>calculs!$E$40:$AH$40</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3.3000000000000007</c:v>
                </c:pt>
              </c:numCache>
            </c:numRef>
          </c:val>
          <c:smooth val="0"/>
        </c:ser>
        <c:ser>
          <c:idx val="17"/>
          <c:order val="17"/>
          <c:tx>
            <c:strRef>
              <c:f>calculs!$D$52</c:f>
              <c:strCache>
                <c:ptCount val="1"/>
                <c:pt idx="0">
                  <c:v>JALON 4</c:v>
                </c:pt>
              </c:strCache>
            </c:strRef>
          </c:tx>
          <c:marker>
            <c:symbol val="circle"/>
            <c:size val="9"/>
            <c:spPr>
              <a:solidFill>
                <a:schemeClr val="accent1"/>
              </a:solidFill>
              <a:ln>
                <a:solidFill>
                  <a:schemeClr val="accent1"/>
                </a:solidFill>
              </a:ln>
            </c:spPr>
          </c:marker>
          <c:dLbls>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calculs!$E$52:$AH$52</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8"/>
          <c:order val="18"/>
          <c:tx>
            <c:v>Today</c:v>
          </c:tx>
          <c:marker>
            <c:symbol val="none"/>
          </c:marker>
          <c:errBars>
            <c:errDir val="y"/>
            <c:errBarType val="both"/>
            <c:errValType val="fixedVal"/>
            <c:noEndCap val="0"/>
            <c:val val="10"/>
            <c:spPr>
              <a:ln w="263525">
                <a:solidFill>
                  <a:schemeClr val="bg1">
                    <a:lumMod val="95000"/>
                  </a:schemeClr>
                </a:solidFill>
              </a:ln>
            </c:spPr>
          </c:errBars>
          <c:val>
            <c:numRef>
              <c:f>calculs!$E$56:$AH$56</c:f>
              <c:numCache>
                <c:formatCode>General</c:formatCode>
                <c:ptCount val="30"/>
                <c:pt idx="0">
                  <c:v>#N/A</c:v>
                </c:pt>
                <c:pt idx="1">
                  <c:v>#N/A</c:v>
                </c:pt>
                <c:pt idx="2">
                  <c:v>#N/A</c:v>
                </c:pt>
                <c:pt idx="3">
                  <c:v>5</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19"/>
          <c:order val="19"/>
          <c:tx>
            <c:strRef>
              <c:f>calculs!$D$58</c:f>
              <c:strCache>
                <c:ptCount val="1"/>
                <c:pt idx="0">
                  <c:v>août 2012</c:v>
                </c:pt>
              </c:strCache>
            </c:strRef>
          </c:tx>
          <c:spPr>
            <a:ln w="228600" cap="sq">
              <a:solidFill>
                <a:schemeClr val="accent3"/>
              </a:solidFill>
            </a:ln>
          </c:spPr>
          <c:marker>
            <c:symbol val="none"/>
          </c:marker>
          <c:val>
            <c:numRef>
              <c:f>calculs!$E$58:$AH$58</c:f>
              <c:numCache>
                <c:formatCode>General</c:formatCode>
                <c:ptCount val="30"/>
                <c:pt idx="0">
                  <c:v>0.5</c:v>
                </c:pt>
                <c:pt idx="1">
                  <c:v>0.5</c:v>
                </c:pt>
                <c:pt idx="2">
                  <c:v>0.5</c:v>
                </c:pt>
                <c:pt idx="3">
                  <c:v>0.5</c:v>
                </c:pt>
                <c:pt idx="4">
                  <c:v>0.5</c:v>
                </c:pt>
                <c:pt idx="5">
                  <c:v>0.5</c:v>
                </c:pt>
                <c:pt idx="6">
                  <c:v>0.5</c:v>
                </c:pt>
                <c:pt idx="7">
                  <c:v>0.5</c:v>
                </c:pt>
                <c:pt idx="8">
                  <c:v>0.5</c:v>
                </c:pt>
                <c:pt idx="9">
                  <c:v>0.5</c:v>
                </c:pt>
                <c:pt idx="10">
                  <c:v>0.5</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20"/>
          <c:order val="20"/>
          <c:tx>
            <c:strRef>
              <c:f>calculs!$D$61</c:f>
              <c:strCache>
                <c:ptCount val="1"/>
                <c:pt idx="0">
                  <c:v>sept 2012</c:v>
                </c:pt>
              </c:strCache>
            </c:strRef>
          </c:tx>
          <c:spPr>
            <a:ln w="228600" cap="sq">
              <a:solidFill>
                <a:schemeClr val="accent2"/>
              </a:solidFill>
            </a:ln>
          </c:spPr>
          <c:marker>
            <c:symbol val="none"/>
          </c:marker>
          <c:val>
            <c:numRef>
              <c:f>calculs!$E$61:$AH$61</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numCache>
            </c:numRef>
          </c:val>
          <c:smooth val="0"/>
        </c:ser>
        <c:ser>
          <c:idx val="21"/>
          <c:order val="21"/>
          <c:tx>
            <c:strRef>
              <c:f>calculs!$D$66</c:f>
              <c:strCache>
                <c:ptCount val="1"/>
                <c:pt idx="0">
                  <c:v>sept 2012</c:v>
                </c:pt>
              </c:strCache>
            </c:strRef>
          </c:tx>
          <c:marker>
            <c:symbol val="none"/>
          </c:marker>
          <c:dLbls>
            <c:spPr>
              <a:noFill/>
              <a:ln>
                <a:noFill/>
              </a:ln>
              <a:effectLst/>
            </c:spPr>
            <c:txPr>
              <a:bodyPr/>
              <a:lstStyle/>
              <a:p>
                <a:pPr>
                  <a:defRPr sz="1200">
                    <a:solidFill>
                      <a:schemeClr val="bg1"/>
                    </a:solidFill>
                  </a:defRPr>
                </a:pPr>
                <a:endParaRPr lang="fr-FR"/>
              </a:p>
            </c:tx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val>
            <c:numRef>
              <c:f>calculs!$E$66:$AH$66</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0.5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22"/>
          <c:order val="22"/>
          <c:tx>
            <c:strRef>
              <c:f>calculs!$D$65</c:f>
              <c:strCache>
                <c:ptCount val="1"/>
                <c:pt idx="0">
                  <c:v>août 2012</c:v>
                </c:pt>
              </c:strCache>
            </c:strRef>
          </c:tx>
          <c:spPr>
            <a:ln w="209550" cap="sq"/>
          </c:spPr>
          <c:marker>
            <c:symbol val="none"/>
          </c:marker>
          <c:dPt>
            <c:idx val="2"/>
            <c:bubble3D val="0"/>
            <c:spPr>
              <a:ln w="28575" cap="sq"/>
            </c:spPr>
          </c:dPt>
          <c:dLbls>
            <c:spPr>
              <a:noFill/>
              <a:ln>
                <a:noFill/>
              </a:ln>
              <a:effectLst/>
            </c:spPr>
            <c:txPr>
              <a:bodyPr/>
              <a:lstStyle/>
              <a:p>
                <a:pPr>
                  <a:defRPr sz="1200">
                    <a:solidFill>
                      <a:schemeClr val="bg1"/>
                    </a:solidFill>
                  </a:defRPr>
                </a:pPr>
                <a:endParaRPr lang="fr-FR"/>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calculs!$E$65:$AH$65</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24"/>
          <c:order val="23"/>
          <c:tx>
            <c:v>Ligne en pointillés pour les jours</c:v>
          </c:tx>
          <c:spPr>
            <a:ln w="15875">
              <a:solidFill>
                <a:schemeClr val="tx2"/>
              </a:solidFill>
            </a:ln>
          </c:spPr>
          <c:marker>
            <c:symbol val="circle"/>
            <c:size val="5"/>
            <c:spPr>
              <a:solidFill>
                <a:schemeClr val="tx2"/>
              </a:solidFill>
              <a:ln>
                <a:noFill/>
              </a:ln>
            </c:spPr>
          </c:marker>
          <c:dLbls>
            <c:dLbl>
              <c:idx val="0"/>
              <c:layout/>
              <c:tx>
                <c:strRef>
                  <c:f>calculs!$E$72</c:f>
                  <c:strCache>
                    <c:ptCount val="1"/>
                    <c:pt idx="0">
                      <c:v>21</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{E338C7F4-AFE2-42E1-99A1-046459880A4B}</c15:txfldGUID>
                      <c15:f>calculs!$E$72</c15:f>
                      <c15:dlblFieldTableCache>
                        <c:ptCount val="1"/>
                        <c:pt idx="0">
                          <c:v>21</c:v>
                        </c:pt>
                      </c15:dlblFieldTableCache>
                    </c15:dlblFTEntry>
                  </c15:dlblFieldTable>
                  <c15:showDataLabelsRange val="0"/>
                </c:ext>
              </c:extLst>
            </c:dLbl>
            <c:dLbl>
              <c:idx val="1"/>
              <c:layout/>
              <c:tx>
                <c:strRef>
                  <c:f>calculs!$F$72</c:f>
                  <c:strCache>
                    <c:ptCount val="1"/>
                    <c:pt idx="0">
                      <c:v>22</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{C2389B22-C978-43F8-A343-C7C8C40F0938}</c15:txfldGUID>
                      <c15:f>calculs!$F$72</c15:f>
                      <c15:dlblFieldTableCache>
                        <c:ptCount val="1"/>
                        <c:pt idx="0">
                          <c:v>22</c:v>
                        </c:pt>
                      </c15:dlblFieldTableCache>
                    </c15:dlblFTEntry>
                  </c15:dlblFieldTable>
                  <c15:showDataLabelsRange val="0"/>
                </c:ext>
              </c:extLst>
            </c:dLbl>
            <c:dLbl>
              <c:idx val="2"/>
              <c:layout/>
              <c:tx>
                <c:strRef>
                  <c:f>calculs!$G$72</c:f>
                  <c:strCache>
                    <c:ptCount val="1"/>
                    <c:pt idx="0">
                      <c:v>23</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{4B68A5F6-2BD4-4783-A035-0B8670F4920E}</c15:txfldGUID>
                      <c15:f>calculs!$G$72</c15:f>
                      <c15:dlblFieldTableCache>
                        <c:ptCount val="1"/>
                        <c:pt idx="0">
                          <c:v>23</c:v>
                        </c:pt>
                      </c15:dlblFieldTableCache>
                    </c15:dlblFTEntry>
                  </c15:dlblFieldTable>
                  <c15:showDataLabelsRange val="0"/>
                </c:ext>
              </c:extLst>
            </c:dLbl>
            <c:dLbl>
              <c:idx val="3"/>
              <c:layout/>
              <c:tx>
                <c:strRef>
                  <c:f>calculs!$H$72</c:f>
                  <c:strCache>
                    <c:ptCount val="1"/>
                    <c:pt idx="0">
                      <c:v>24</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{EC2583CC-FC0B-4F17-89AA-C822BCCD3283}</c15:txfldGUID>
                      <c15:f>calculs!$H$72</c15:f>
                      <c15:dlblFieldTableCache>
                        <c:ptCount val="1"/>
                        <c:pt idx="0">
                          <c:v>24</c:v>
                        </c:pt>
                      </c15:dlblFieldTableCache>
                    </c15:dlblFTEntry>
                  </c15:dlblFieldTable>
                  <c15:showDataLabelsRange val="0"/>
                </c:ext>
              </c:extLst>
            </c:dLbl>
            <c:dLbl>
              <c:idx val="4"/>
              <c:layout/>
              <c:tx>
                <c:strRef>
                  <c:f>calculs!$I$72</c:f>
                  <c:strCache>
                    <c:ptCount val="1"/>
                    <c:pt idx="0">
                      <c:v>25</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{3D37E197-D1B5-4CD1-8BAD-B973E14F66C4}</c15:txfldGUID>
                      <c15:f>calculs!$I$72</c15:f>
                      <c15:dlblFieldTableCache>
                        <c:ptCount val="1"/>
                        <c:pt idx="0">
                          <c:v>25</c:v>
                        </c:pt>
                      </c15:dlblFieldTableCache>
                    </c15:dlblFTEntry>
                  </c15:dlblFieldTable>
                  <c15:showDataLabelsRange val="0"/>
                </c:ext>
              </c:extLst>
            </c:dLbl>
            <c:dLbl>
              <c:idx val="5"/>
              <c:layout/>
              <c:tx>
                <c:strRef>
                  <c:f>calculs!$J$72</c:f>
                  <c:strCache>
                    <c:ptCount val="1"/>
                    <c:pt idx="0">
                      <c:v>26</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{B493BD5F-6211-407A-8057-5EF194971665}</c15:txfldGUID>
                      <c15:f>calculs!$J$72</c15:f>
                      <c15:dlblFieldTableCache>
                        <c:ptCount val="1"/>
                        <c:pt idx="0">
                          <c:v>26</c:v>
                        </c:pt>
                      </c15:dlblFieldTableCache>
                    </c15:dlblFTEntry>
                  </c15:dlblFieldTable>
                  <c15:showDataLabelsRange val="0"/>
                </c:ext>
              </c:extLst>
            </c:dLbl>
            <c:dLbl>
              <c:idx val="6"/>
              <c:layout/>
              <c:tx>
                <c:strRef>
                  <c:f>calculs!$K$72</c:f>
                  <c:strCache>
                    <c:ptCount val="1"/>
                    <c:pt idx="0">
                      <c:v>27</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{3DF766EE-00F2-42CB-A5E6-90E161753BE3}</c15:txfldGUID>
                      <c15:f>calculs!$K$72</c15:f>
                      <c15:dlblFieldTableCache>
                        <c:ptCount val="1"/>
                        <c:pt idx="0">
                          <c:v>27</c:v>
                        </c:pt>
                      </c15:dlblFieldTableCache>
                    </c15:dlblFTEntry>
                  </c15:dlblFieldTable>
                  <c15:showDataLabelsRange val="0"/>
                </c:ext>
              </c:extLst>
            </c:dLbl>
            <c:dLbl>
              <c:idx val="7"/>
              <c:layout/>
              <c:tx>
                <c:strRef>
                  <c:f>calculs!$L$72</c:f>
                  <c:strCache>
                    <c:ptCount val="1"/>
                    <c:pt idx="0">
                      <c:v>28</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{B2A4358F-2D6D-47E3-80C7-3C8CE358CBC6}</c15:txfldGUID>
                      <c15:f>calculs!$L$72</c15:f>
                      <c15:dlblFieldTableCache>
                        <c:ptCount val="1"/>
                        <c:pt idx="0">
                          <c:v>28</c:v>
                        </c:pt>
                      </c15:dlblFieldTableCache>
                    </c15:dlblFTEntry>
                  </c15:dlblFieldTable>
                  <c15:showDataLabelsRange val="0"/>
                </c:ext>
              </c:extLst>
            </c:dLbl>
            <c:dLbl>
              <c:idx val="8"/>
              <c:layout/>
              <c:tx>
                <c:strRef>
                  <c:f>calculs!$M$72</c:f>
                  <c:strCache>
                    <c:ptCount val="1"/>
                    <c:pt idx="0">
                      <c:v>29</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{66A74C9D-FCAD-4AC2-B9E2-60562DFD0034}</c15:txfldGUID>
                      <c15:f>calculs!$M$72</c15:f>
                      <c15:dlblFieldTableCache>
                        <c:ptCount val="1"/>
                        <c:pt idx="0">
                          <c:v>29</c:v>
                        </c:pt>
                      </c15:dlblFieldTableCache>
                    </c15:dlblFTEntry>
                  </c15:dlblFieldTable>
                  <c15:showDataLabelsRange val="0"/>
                </c:ext>
              </c:extLst>
            </c:dLbl>
            <c:dLbl>
              <c:idx val="9"/>
              <c:layout/>
              <c:tx>
                <c:strRef>
                  <c:f>calculs!$N$72</c:f>
                  <c:strCache>
                    <c:ptCount val="1"/>
                    <c:pt idx="0">
                      <c:v>30</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{57F0A818-0A22-426E-9D27-0EAA47AE35B9}</c15:txfldGUID>
                      <c15:f>calculs!$N$72</c15:f>
                      <c15:dlblFieldTableCache>
                        <c:ptCount val="1"/>
                        <c:pt idx="0">
                          <c:v>30</c:v>
                        </c:pt>
                      </c15:dlblFieldTableCache>
                    </c15:dlblFTEntry>
                  </c15:dlblFieldTable>
                  <c15:showDataLabelsRange val="0"/>
                </c:ext>
              </c:extLst>
            </c:dLbl>
            <c:dLbl>
              <c:idx val="10"/>
              <c:layout/>
              <c:tx>
                <c:strRef>
                  <c:f>calculs!$O$72</c:f>
                  <c:strCache>
                    <c:ptCount val="1"/>
                    <c:pt idx="0">
                      <c:v>31</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{5847068B-7E75-4B20-A601-736A0EE06E9B}</c15:txfldGUID>
                      <c15:f>calculs!$O$72</c15:f>
                      <c15:dlblFieldTableCache>
                        <c:ptCount val="1"/>
                        <c:pt idx="0">
                          <c:v>31</c:v>
                        </c:pt>
                      </c15:dlblFieldTableCache>
                    </c15:dlblFTEntry>
                  </c15:dlblFieldTable>
                  <c15:showDataLabelsRange val="0"/>
                </c:ext>
              </c:extLst>
            </c:dLbl>
            <c:dLbl>
              <c:idx val="11"/>
              <c:layout/>
              <c:tx>
                <c:strRef>
                  <c:f>calculs!$P$72</c:f>
                  <c:strCache>
                    <c:ptCount val="1"/>
                    <c:pt idx="0">
                      <c:v>01</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{E0D66899-DBD5-4B77-823D-073210F48089}</c15:txfldGUID>
                      <c15:f>calculs!$P$72</c15:f>
                      <c15:dlblFieldTableCache>
                        <c:ptCount val="1"/>
                        <c:pt idx="0">
                          <c:v>01</c:v>
                        </c:pt>
                      </c15:dlblFieldTableCache>
                    </c15:dlblFTEntry>
                  </c15:dlblFieldTable>
                  <c15:showDataLabelsRange val="0"/>
                </c:ext>
              </c:extLst>
            </c:dLbl>
            <c:dLbl>
              <c:idx val="12"/>
              <c:layout/>
              <c:tx>
                <c:strRef>
                  <c:f>calculs!$Q$72</c:f>
                  <c:strCache>
                    <c:ptCount val="1"/>
                    <c:pt idx="0">
                      <c:v>02</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{1BB4856E-8AB6-49FA-ADFD-D07CA3330D69}</c15:txfldGUID>
                      <c15:f>calculs!$Q$72</c15:f>
                      <c15:dlblFieldTableCache>
                        <c:ptCount val="1"/>
                        <c:pt idx="0">
                          <c:v>02</c:v>
                        </c:pt>
                      </c15:dlblFieldTableCache>
                    </c15:dlblFTEntry>
                  </c15:dlblFieldTable>
                  <c15:showDataLabelsRange val="0"/>
                </c:ext>
              </c:extLst>
            </c:dLbl>
            <c:dLbl>
              <c:idx val="13"/>
              <c:layout/>
              <c:tx>
                <c:strRef>
                  <c:f>calculs!$R$72</c:f>
                  <c:strCache>
                    <c:ptCount val="1"/>
                    <c:pt idx="0">
                      <c:v>03</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{259C7E46-1E5C-4FCC-9A77-5134EF9464B7}</c15:txfldGUID>
                      <c15:f>calculs!$R$72</c15:f>
                      <c15:dlblFieldTableCache>
                        <c:ptCount val="1"/>
                        <c:pt idx="0">
                          <c:v>03</c:v>
                        </c:pt>
                      </c15:dlblFieldTableCache>
                    </c15:dlblFTEntry>
                  </c15:dlblFieldTable>
                  <c15:showDataLabelsRange val="0"/>
                </c:ext>
              </c:extLst>
            </c:dLbl>
            <c:dLbl>
              <c:idx val="14"/>
              <c:layout/>
              <c:tx>
                <c:strRef>
                  <c:f>calculs!$S$72</c:f>
                  <c:strCache>
                    <c:ptCount val="1"/>
                    <c:pt idx="0">
                      <c:v>04</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{5501E95B-AC78-4652-BC1E-EBA7D7CCCB06}</c15:txfldGUID>
                      <c15:f>calculs!$S$72</c15:f>
                      <c15:dlblFieldTableCache>
                        <c:ptCount val="1"/>
                        <c:pt idx="0">
                          <c:v>04</c:v>
                        </c:pt>
                      </c15:dlblFieldTableCache>
                    </c15:dlblFTEntry>
                  </c15:dlblFieldTable>
                  <c15:showDataLabelsRange val="0"/>
                </c:ext>
              </c:extLst>
            </c:dLbl>
            <c:dLbl>
              <c:idx val="15"/>
              <c:layout/>
              <c:tx>
                <c:strRef>
                  <c:f>calculs!$T$72</c:f>
                  <c:strCache>
                    <c:ptCount val="1"/>
                    <c:pt idx="0">
                      <c:v>05</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{358258C4-951B-424D-9AED-E3AD0AA30BCE}</c15:txfldGUID>
                      <c15:f>calculs!$T$72</c15:f>
                      <c15:dlblFieldTableCache>
                        <c:ptCount val="1"/>
                        <c:pt idx="0">
                          <c:v>05</c:v>
                        </c:pt>
                      </c15:dlblFieldTableCache>
                    </c15:dlblFTEntry>
                  </c15:dlblFieldTable>
                  <c15:showDataLabelsRange val="0"/>
                </c:ext>
              </c:extLst>
            </c:dLbl>
            <c:dLbl>
              <c:idx val="16"/>
              <c:layout/>
              <c:tx>
                <c:strRef>
                  <c:f>calculs!$U$72</c:f>
                  <c:strCache>
                    <c:ptCount val="1"/>
                    <c:pt idx="0">
                      <c:v>06</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{BD7AF6E6-DF9A-4FC7-A7FC-E255DD115568}</c15:txfldGUID>
                      <c15:f>calculs!$U$72</c15:f>
                      <c15:dlblFieldTableCache>
                        <c:ptCount val="1"/>
                        <c:pt idx="0">
                          <c:v>06</c:v>
                        </c:pt>
                      </c15:dlblFieldTableCache>
                    </c15:dlblFTEntry>
                  </c15:dlblFieldTable>
                  <c15:showDataLabelsRange val="0"/>
                </c:ext>
              </c:extLst>
            </c:dLbl>
            <c:dLbl>
              <c:idx val="17"/>
              <c:layout/>
              <c:tx>
                <c:strRef>
                  <c:f>calculs!$V$72</c:f>
                  <c:strCache>
                    <c:ptCount val="1"/>
                    <c:pt idx="0">
                      <c:v>07</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{F24CFCF5-A1D2-46CF-BD09-17DB46999793}</c15:txfldGUID>
                      <c15:f>calculs!$V$72</c15:f>
                      <c15:dlblFieldTableCache>
                        <c:ptCount val="1"/>
                        <c:pt idx="0">
                          <c:v>07</c:v>
                        </c:pt>
                      </c15:dlblFieldTableCache>
                    </c15:dlblFTEntry>
                  </c15:dlblFieldTable>
                  <c15:showDataLabelsRange val="0"/>
                </c:ext>
              </c:extLst>
            </c:dLbl>
            <c:dLbl>
              <c:idx val="18"/>
              <c:layout/>
              <c:tx>
                <c:strRef>
                  <c:f>calculs!$W$72</c:f>
                  <c:strCache>
                    <c:ptCount val="1"/>
                    <c:pt idx="0">
                      <c:v>08</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{8EBEC6EC-34B7-4B19-AB79-22AF830A7FD4}</c15:txfldGUID>
                      <c15:f>calculs!$W$72</c15:f>
                      <c15:dlblFieldTableCache>
                        <c:ptCount val="1"/>
                        <c:pt idx="0">
                          <c:v>08</c:v>
                        </c:pt>
                      </c15:dlblFieldTableCache>
                    </c15:dlblFTEntry>
                  </c15:dlblFieldTable>
                  <c15:showDataLabelsRange val="0"/>
                </c:ext>
              </c:extLst>
            </c:dLbl>
            <c:dLbl>
              <c:idx val="19"/>
              <c:layout/>
              <c:tx>
                <c:strRef>
                  <c:f>calculs!$X$72</c:f>
                  <c:strCache>
                    <c:ptCount val="1"/>
                    <c:pt idx="0">
                      <c:v>09</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{B59F6602-763C-4363-B53E-A7EDFFD17E3F}</c15:txfldGUID>
                      <c15:f>calculs!$X$72</c15:f>
                      <c15:dlblFieldTableCache>
                        <c:ptCount val="1"/>
                        <c:pt idx="0">
                          <c:v>09</c:v>
                        </c:pt>
                      </c15:dlblFieldTableCache>
                    </c15:dlblFTEntry>
                  </c15:dlblFieldTable>
                  <c15:showDataLabelsRange val="0"/>
                </c:ext>
              </c:extLst>
            </c:dLbl>
            <c:dLbl>
              <c:idx val="20"/>
              <c:layout/>
              <c:tx>
                <c:strRef>
                  <c:f>calculs!$Y$72</c:f>
                  <c:strCache>
                    <c:ptCount val="1"/>
                    <c:pt idx="0">
                      <c:v>10</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{2320A93E-3045-4786-A993-07659B2D5CC2}</c15:txfldGUID>
                      <c15:f>calculs!$Y$72</c15:f>
                      <c15:dlblFieldTableCache>
                        <c:ptCount val="1"/>
                        <c:pt idx="0">
                          <c:v>10</c:v>
                        </c:pt>
                      </c15:dlblFieldTableCache>
                    </c15:dlblFTEntry>
                  </c15:dlblFieldTable>
                  <c15:showDataLabelsRange val="0"/>
                </c:ext>
              </c:extLst>
            </c:dLbl>
            <c:dLbl>
              <c:idx val="21"/>
              <c:layout/>
              <c:tx>
                <c:strRef>
                  <c:f>calculs!$Z$72</c:f>
                  <c:strCache>
                    <c:ptCount val="1"/>
                    <c:pt idx="0">
                      <c:v>11</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{BA85DC5E-7285-4EB7-A3E6-8E6D7D284EB7}</c15:txfldGUID>
                      <c15:f>calculs!$Z$72</c15:f>
                      <c15:dlblFieldTableCache>
                        <c:ptCount val="1"/>
                        <c:pt idx="0">
                          <c:v>11</c:v>
                        </c:pt>
                      </c15:dlblFieldTableCache>
                    </c15:dlblFTEntry>
                  </c15:dlblFieldTable>
                  <c15:showDataLabelsRange val="0"/>
                </c:ext>
              </c:extLst>
            </c:dLbl>
            <c:dLbl>
              <c:idx val="22"/>
              <c:layout/>
              <c:tx>
                <c:strRef>
                  <c:f>calculs!$AA$72</c:f>
                  <c:strCache>
                    <c:ptCount val="1"/>
                    <c:pt idx="0">
                      <c:v>12</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{3B6075A7-6332-4705-B646-1885C2C94ABD}</c15:txfldGUID>
                      <c15:f>calculs!$AA$72</c15:f>
                      <c15:dlblFieldTableCache>
                        <c:ptCount val="1"/>
                        <c:pt idx="0">
                          <c:v>12</c:v>
                        </c:pt>
                      </c15:dlblFieldTableCache>
                    </c15:dlblFTEntry>
                  </c15:dlblFieldTable>
                  <c15:showDataLabelsRange val="0"/>
                </c:ext>
              </c:extLst>
            </c:dLbl>
            <c:dLbl>
              <c:idx val="23"/>
              <c:layout/>
              <c:tx>
                <c:strRef>
                  <c:f>calculs!$AB$72</c:f>
                  <c:strCache>
                    <c:ptCount val="1"/>
                    <c:pt idx="0">
                      <c:v>13</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{8CD0D6D9-E829-4175-8757-C38386B1F106}</c15:txfldGUID>
                      <c15:f>calculs!$AB$72</c15:f>
                      <c15:dlblFieldTableCache>
                        <c:ptCount val="1"/>
                        <c:pt idx="0">
                          <c:v>13</c:v>
                        </c:pt>
                      </c15:dlblFieldTableCache>
                    </c15:dlblFTEntry>
                  </c15:dlblFieldTable>
                  <c15:showDataLabelsRange val="0"/>
                </c:ext>
              </c:extLst>
            </c:dLbl>
            <c:dLbl>
              <c:idx val="24"/>
              <c:layout/>
              <c:tx>
                <c:strRef>
                  <c:f>calculs!$AC$72</c:f>
                  <c:strCache>
                    <c:ptCount val="1"/>
                    <c:pt idx="0">
                      <c:v>14</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{E5B02608-1C2E-4982-8757-5DD1796EC25E}</c15:txfldGUID>
                      <c15:f>calculs!$AC$72</c15:f>
                      <c15:dlblFieldTableCache>
                        <c:ptCount val="1"/>
                        <c:pt idx="0">
                          <c:v>14</c:v>
                        </c:pt>
                      </c15:dlblFieldTableCache>
                    </c15:dlblFTEntry>
                  </c15:dlblFieldTable>
                  <c15:showDataLabelsRange val="0"/>
                </c:ext>
              </c:extLst>
            </c:dLbl>
            <c:dLbl>
              <c:idx val="25"/>
              <c:layout/>
              <c:tx>
                <c:strRef>
                  <c:f>calculs!$AD$72</c:f>
                  <c:strCache>
                    <c:ptCount val="1"/>
                    <c:pt idx="0">
                      <c:v>15</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{033A86D8-A024-44F1-BEBA-BE666FB17376}</c15:txfldGUID>
                      <c15:f>calculs!$AD$72</c15:f>
                      <c15:dlblFieldTableCache>
                        <c:ptCount val="1"/>
                        <c:pt idx="0">
                          <c:v>15</c:v>
                        </c:pt>
                      </c15:dlblFieldTableCache>
                    </c15:dlblFTEntry>
                  </c15:dlblFieldTable>
                  <c15:showDataLabelsRange val="0"/>
                </c:ext>
              </c:extLst>
            </c:dLbl>
            <c:dLbl>
              <c:idx val="26"/>
              <c:layout/>
              <c:tx>
                <c:strRef>
                  <c:f>calculs!$AE$72</c:f>
                  <c:strCache>
                    <c:ptCount val="1"/>
                    <c:pt idx="0">
                      <c:v>16</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{8195F4EA-0E14-4605-BB32-787A7A7240B1}</c15:txfldGUID>
                      <c15:f>calculs!$AE$72</c15:f>
                      <c15:dlblFieldTableCache>
                        <c:ptCount val="1"/>
                        <c:pt idx="0">
                          <c:v>16</c:v>
                        </c:pt>
                      </c15:dlblFieldTableCache>
                    </c15:dlblFTEntry>
                  </c15:dlblFieldTable>
                  <c15:showDataLabelsRange val="0"/>
                </c:ext>
              </c:extLst>
            </c:dLbl>
            <c:dLbl>
              <c:idx val="27"/>
              <c:layout/>
              <c:tx>
                <c:strRef>
                  <c:f>calculs!$AF$72</c:f>
                  <c:strCache>
                    <c:ptCount val="1"/>
                    <c:pt idx="0">
                      <c:v>17</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{40BC4C67-1287-4DCC-B52A-B64FB6BA8984}</c15:txfldGUID>
                      <c15:f>calculs!$AF$72</c15:f>
                      <c15:dlblFieldTableCache>
                        <c:ptCount val="1"/>
                        <c:pt idx="0">
                          <c:v>17</c:v>
                        </c:pt>
                      </c15:dlblFieldTableCache>
                    </c15:dlblFTEntry>
                  </c15:dlblFieldTable>
                  <c15:showDataLabelsRange val="0"/>
                </c:ext>
              </c:extLst>
            </c:dLbl>
            <c:dLbl>
              <c:idx val="28"/>
              <c:layout/>
              <c:tx>
                <c:strRef>
                  <c:f>calculs!$AG$72</c:f>
                  <c:strCache>
                    <c:ptCount val="1"/>
                    <c:pt idx="0">
                      <c:v>18</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{1C6BE93B-65E4-4F85-9C32-95D6662D99A2}</c15:txfldGUID>
                      <c15:f>calculs!$AG$72</c15:f>
                      <c15:dlblFieldTableCache>
                        <c:ptCount val="1"/>
                        <c:pt idx="0">
                          <c:v>18</c:v>
                        </c:pt>
                      </c15:dlblFieldTableCache>
                    </c15:dlblFTEntry>
                  </c15:dlblFieldTable>
                  <c15:showDataLabelsRange val="0"/>
                </c:ext>
              </c:extLst>
            </c:dLbl>
            <c:dLbl>
              <c:idx val="29"/>
              <c:layout/>
              <c:tx>
                <c:strRef>
                  <c:f>calculs!$AH$72</c:f>
                  <c:strCache>
                    <c:ptCount val="1"/>
                    <c:pt idx="0">
                      <c:v>19</c:v>
                    </c:pt>
                  </c:strCache>
                </c:strRef>
              </c:tx>
              <c:dLblPos val="t"/>
              <c:showLegendKey val="0"/>
              <c:showVal val="1"/>
              <c:showCatName val="0"/>
              <c:showSerName val="0"/>
              <c:showPercent val="0"/>
              <c:showBubbleSize val="0"/>
              <c:extLst>
                <c:ext xmlns:c15="http://schemas.microsoft.com/office/drawing/2012/chart" uri="{CE6537A1-D6FC-4f65-9D91-7224C49458BB}">
                  <c15:layout/>
                  <c15:dlblFieldTable>
                    <c15:dlblFTEntry>
                      <c15:txfldGUID>{531CE32A-B8D8-4951-8045-87CF311B4D47}</c15:txfldGUID>
                      <c15:f>calculs!$AH$72</c15:f>
                      <c15:dlblFieldTableCache>
                        <c:ptCount val="1"/>
                        <c:pt idx="0">
                          <c:v>19</c:v>
                        </c:pt>
                      </c15:dlblFieldTableCache>
                    </c15:dlblFTEntry>
                  </c15:dlblFieldTable>
                  <c15:showDataLabelsRange val="0"/>
                </c:ext>
              </c:extLst>
            </c:dLbl>
            <c:spPr>
              <a:noFill/>
              <a:ln>
                <a:noFill/>
              </a:ln>
              <a:effectLst/>
            </c:spPr>
            <c:txPr>
              <a:bodyPr/>
              <a:lstStyle/>
              <a:p>
                <a:pPr>
                  <a:defRPr sz="750"/>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calculs!$E$71:$AH$71</c:f>
              <c:numCache>
                <c:formatCode>General</c:formatCode>
                <c:ptCount val="30"/>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numCache>
            </c:numRef>
          </c:val>
          <c:smooth val="0"/>
        </c:ser>
        <c:ser>
          <c:idx val="23"/>
          <c:order val="24"/>
          <c:tx>
            <c:v>Ligne en pointillés pour les jours applicable aux étiquettes de texte</c:v>
          </c:tx>
          <c:spPr>
            <a:ln>
              <a:noFill/>
            </a:ln>
          </c:spPr>
          <c:marker>
            <c:symbol val="none"/>
          </c:marker>
          <c:dLbls>
            <c:dLbl>
              <c:idx val="0"/>
              <c:layout/>
              <c:tx>
                <c:strRef>
                  <c:f>calculs!$E$70</c:f>
                  <c:strCache>
                    <c:ptCount val="1"/>
                    <c:pt idx="0">
                      <c:v>MAR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{EFAB8D78-F569-41BC-92CF-8D5E18BB42EF}</c15:txfldGUID>
                      <c15:f>calculs!$E$70</c15:f>
                      <c15:dlblFieldTableCache>
                        <c:ptCount val="1"/>
                        <c:pt idx="0">
                          <c:v>MAR</c:v>
                        </c:pt>
                      </c15:dlblFieldTableCache>
                    </c15:dlblFTEntry>
                  </c15:dlblFieldTable>
                  <c15:showDataLabelsRange val="0"/>
                </c:ext>
              </c:extLst>
            </c:dLbl>
            <c:dLbl>
              <c:idx val="1"/>
              <c:layout/>
              <c:tx>
                <c:strRef>
                  <c:f>calculs!$F$70</c:f>
                  <c:strCache>
                    <c:ptCount val="1"/>
                    <c:pt idx="0">
                      <c:v>MER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{07DD11A4-6A91-44B1-ADB0-241265D17929}</c15:txfldGUID>
                      <c15:f>calculs!$F$70</c15:f>
                      <c15:dlblFieldTableCache>
                        <c:ptCount val="1"/>
                        <c:pt idx="0">
                          <c:v>MER</c:v>
                        </c:pt>
                      </c15:dlblFieldTableCache>
                    </c15:dlblFTEntry>
                  </c15:dlblFieldTable>
                  <c15:showDataLabelsRange val="0"/>
                </c:ext>
              </c:extLst>
            </c:dLbl>
            <c:dLbl>
              <c:idx val="2"/>
              <c:layout/>
              <c:tx>
                <c:strRef>
                  <c:f>calculs!$G$70</c:f>
                  <c:strCache>
                    <c:ptCount val="1"/>
                    <c:pt idx="0">
                      <c:v>JEU</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{DA718D81-9ADF-47C7-A8BE-457C589D1D80}</c15:txfldGUID>
                      <c15:f>calculs!$G$70</c15:f>
                      <c15:dlblFieldTableCache>
                        <c:ptCount val="1"/>
                        <c:pt idx="0">
                          <c:v>JEU</c:v>
                        </c:pt>
                      </c15:dlblFieldTableCache>
                    </c15:dlblFTEntry>
                  </c15:dlblFieldTable>
                  <c15:showDataLabelsRange val="0"/>
                </c:ext>
              </c:extLst>
            </c:dLbl>
            <c:dLbl>
              <c:idx val="3"/>
              <c:layout/>
              <c:tx>
                <c:strRef>
                  <c:f>calculs!$H$70</c:f>
                  <c:strCache>
                    <c:ptCount val="1"/>
                    <c:pt idx="0">
                      <c:v>VEN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{DAB5BA5E-52AC-4FEB-9A6E-C718C707CAA8}</c15:txfldGUID>
                      <c15:f>calculs!$H$70</c15:f>
                      <c15:dlblFieldTableCache>
                        <c:ptCount val="1"/>
                        <c:pt idx="0">
                          <c:v>VEN</c:v>
                        </c:pt>
                      </c15:dlblFieldTableCache>
                    </c15:dlblFTEntry>
                  </c15:dlblFieldTable>
                  <c15:showDataLabelsRange val="0"/>
                </c:ext>
              </c:extLst>
            </c:dLbl>
            <c:dLbl>
              <c:idx val="4"/>
              <c:layout/>
              <c:tx>
                <c:strRef>
                  <c:f>calculs!$I$70</c:f>
                  <c:strCache>
                    <c:ptCount val="1"/>
                    <c:pt idx="0">
                      <c:v>SAM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{9087DA12-C0B9-45E7-BAC6-958161A0AFFC}</c15:txfldGUID>
                      <c15:f>calculs!$I$70</c15:f>
                      <c15:dlblFieldTableCache>
                        <c:ptCount val="1"/>
                        <c:pt idx="0">
                          <c:v>SAM</c:v>
                        </c:pt>
                      </c15:dlblFieldTableCache>
                    </c15:dlblFTEntry>
                  </c15:dlblFieldTable>
                  <c15:showDataLabelsRange val="0"/>
                </c:ext>
              </c:extLst>
            </c:dLbl>
            <c:dLbl>
              <c:idx val="5"/>
              <c:layout/>
              <c:tx>
                <c:strRef>
                  <c:f>calculs!$J$70</c:f>
                  <c:strCache>
                    <c:ptCount val="1"/>
                    <c:pt idx="0">
                      <c:v>DIM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{8FFF992C-0176-4615-B3EA-62277A6FDEC9}</c15:txfldGUID>
                      <c15:f>calculs!$J$70</c15:f>
                      <c15:dlblFieldTableCache>
                        <c:ptCount val="1"/>
                        <c:pt idx="0">
                          <c:v>DIM</c:v>
                        </c:pt>
                      </c15:dlblFieldTableCache>
                    </c15:dlblFTEntry>
                  </c15:dlblFieldTable>
                  <c15:showDataLabelsRange val="0"/>
                </c:ext>
              </c:extLst>
            </c:dLbl>
            <c:dLbl>
              <c:idx val="6"/>
              <c:layout/>
              <c:tx>
                <c:strRef>
                  <c:f>calculs!$K$70</c:f>
                  <c:strCache>
                    <c:ptCount val="1"/>
                    <c:pt idx="0">
                      <c:v>LUN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{467B1018-C719-4E95-83E4-409C9183BA3F}</c15:txfldGUID>
                      <c15:f>calculs!$K$70</c15:f>
                      <c15:dlblFieldTableCache>
                        <c:ptCount val="1"/>
                        <c:pt idx="0">
                          <c:v>LUN</c:v>
                        </c:pt>
                      </c15:dlblFieldTableCache>
                    </c15:dlblFTEntry>
                  </c15:dlblFieldTable>
                  <c15:showDataLabelsRange val="0"/>
                </c:ext>
              </c:extLst>
            </c:dLbl>
            <c:dLbl>
              <c:idx val="7"/>
              <c:layout/>
              <c:tx>
                <c:strRef>
                  <c:f>calculs!$L$70</c:f>
                  <c:strCache>
                    <c:ptCount val="1"/>
                    <c:pt idx="0">
                      <c:v>MAR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{E1B88410-CC99-467E-BCD0-B55E9B3CBC8D}</c15:txfldGUID>
                      <c15:f>calculs!$L$70</c15:f>
                      <c15:dlblFieldTableCache>
                        <c:ptCount val="1"/>
                        <c:pt idx="0">
                          <c:v>MAR</c:v>
                        </c:pt>
                      </c15:dlblFieldTableCache>
                    </c15:dlblFTEntry>
                  </c15:dlblFieldTable>
                  <c15:showDataLabelsRange val="0"/>
                </c:ext>
              </c:extLst>
            </c:dLbl>
            <c:dLbl>
              <c:idx val="8"/>
              <c:layout/>
              <c:tx>
                <c:strRef>
                  <c:f>calculs!$M$70</c:f>
                  <c:strCache>
                    <c:ptCount val="1"/>
                    <c:pt idx="0">
                      <c:v>MER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{BD276AE5-65D3-4731-9B01-F527B11696D2}</c15:txfldGUID>
                      <c15:f>calculs!$M$70</c15:f>
                      <c15:dlblFieldTableCache>
                        <c:ptCount val="1"/>
                        <c:pt idx="0">
                          <c:v>MER</c:v>
                        </c:pt>
                      </c15:dlblFieldTableCache>
                    </c15:dlblFTEntry>
                  </c15:dlblFieldTable>
                  <c15:showDataLabelsRange val="0"/>
                </c:ext>
              </c:extLst>
            </c:dLbl>
            <c:dLbl>
              <c:idx val="9"/>
              <c:layout/>
              <c:tx>
                <c:strRef>
                  <c:f>calculs!$N$70</c:f>
                  <c:strCache>
                    <c:ptCount val="1"/>
                    <c:pt idx="0">
                      <c:v>JEU</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{38EE7EF7-30A4-4E41-9061-120A2886173E}</c15:txfldGUID>
                      <c15:f>calculs!$N$70</c15:f>
                      <c15:dlblFieldTableCache>
                        <c:ptCount val="1"/>
                        <c:pt idx="0">
                          <c:v>JEU</c:v>
                        </c:pt>
                      </c15:dlblFieldTableCache>
                    </c15:dlblFTEntry>
                  </c15:dlblFieldTable>
                  <c15:showDataLabelsRange val="0"/>
                </c:ext>
              </c:extLst>
            </c:dLbl>
            <c:dLbl>
              <c:idx val="10"/>
              <c:layout/>
              <c:tx>
                <c:strRef>
                  <c:f>calculs!$O$70</c:f>
                  <c:strCache>
                    <c:ptCount val="1"/>
                    <c:pt idx="0">
                      <c:v>VEN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{23C24C3E-E453-4513-B850-91F1627A6502}</c15:txfldGUID>
                      <c15:f>calculs!$O$70</c15:f>
                      <c15:dlblFieldTableCache>
                        <c:ptCount val="1"/>
                        <c:pt idx="0">
                          <c:v>VEN</c:v>
                        </c:pt>
                      </c15:dlblFieldTableCache>
                    </c15:dlblFTEntry>
                  </c15:dlblFieldTable>
                  <c15:showDataLabelsRange val="0"/>
                </c:ext>
              </c:extLst>
            </c:dLbl>
            <c:dLbl>
              <c:idx val="11"/>
              <c:layout/>
              <c:tx>
                <c:strRef>
                  <c:f>calculs!$P$70</c:f>
                  <c:strCache>
                    <c:ptCount val="1"/>
                    <c:pt idx="0">
                      <c:v>SAM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{87F4B456-0074-4997-9A61-C31389AD3B0F}</c15:txfldGUID>
                      <c15:f>calculs!$P$70</c15:f>
                      <c15:dlblFieldTableCache>
                        <c:ptCount val="1"/>
                        <c:pt idx="0">
                          <c:v>SAM</c:v>
                        </c:pt>
                      </c15:dlblFieldTableCache>
                    </c15:dlblFTEntry>
                  </c15:dlblFieldTable>
                  <c15:showDataLabelsRange val="0"/>
                </c:ext>
              </c:extLst>
            </c:dLbl>
            <c:dLbl>
              <c:idx val="12"/>
              <c:layout/>
              <c:tx>
                <c:strRef>
                  <c:f>calculs!$Q$70</c:f>
                  <c:strCache>
                    <c:ptCount val="1"/>
                    <c:pt idx="0">
                      <c:v>DIM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{A473E08C-ED9C-4401-BF45-0E96CFCEE60A}</c15:txfldGUID>
                      <c15:f>calculs!$Q$70</c15:f>
                      <c15:dlblFieldTableCache>
                        <c:ptCount val="1"/>
                        <c:pt idx="0">
                          <c:v>DIM</c:v>
                        </c:pt>
                      </c15:dlblFieldTableCache>
                    </c15:dlblFTEntry>
                  </c15:dlblFieldTable>
                  <c15:showDataLabelsRange val="0"/>
                </c:ext>
              </c:extLst>
            </c:dLbl>
            <c:dLbl>
              <c:idx val="13"/>
              <c:layout/>
              <c:tx>
                <c:strRef>
                  <c:f>calculs!$R$70</c:f>
                  <c:strCache>
                    <c:ptCount val="1"/>
                    <c:pt idx="0">
                      <c:v>LUN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{A77EE790-BB95-4344-9138-AD2659F34768}</c15:txfldGUID>
                      <c15:f>calculs!$R$70</c15:f>
                      <c15:dlblFieldTableCache>
                        <c:ptCount val="1"/>
                        <c:pt idx="0">
                          <c:v>LUN</c:v>
                        </c:pt>
                      </c15:dlblFieldTableCache>
                    </c15:dlblFTEntry>
                  </c15:dlblFieldTable>
                  <c15:showDataLabelsRange val="0"/>
                </c:ext>
              </c:extLst>
            </c:dLbl>
            <c:dLbl>
              <c:idx val="14"/>
              <c:layout/>
              <c:tx>
                <c:strRef>
                  <c:f>calculs!$S$70</c:f>
                  <c:strCache>
                    <c:ptCount val="1"/>
                    <c:pt idx="0">
                      <c:v>MAR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{866B59D2-7A38-4FA3-81A0-23809FFFC456}</c15:txfldGUID>
                      <c15:f>calculs!$S$70</c15:f>
                      <c15:dlblFieldTableCache>
                        <c:ptCount val="1"/>
                        <c:pt idx="0">
                          <c:v>MAR</c:v>
                        </c:pt>
                      </c15:dlblFieldTableCache>
                    </c15:dlblFTEntry>
                  </c15:dlblFieldTable>
                  <c15:showDataLabelsRange val="0"/>
                </c:ext>
              </c:extLst>
            </c:dLbl>
            <c:dLbl>
              <c:idx val="15"/>
              <c:layout/>
              <c:tx>
                <c:strRef>
                  <c:f>calculs!$T$70</c:f>
                  <c:strCache>
                    <c:ptCount val="1"/>
                    <c:pt idx="0">
                      <c:v>MER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{BEA1123B-C108-43CC-A823-AE66A2E30906}</c15:txfldGUID>
                      <c15:f>calculs!$T$70</c15:f>
                      <c15:dlblFieldTableCache>
                        <c:ptCount val="1"/>
                        <c:pt idx="0">
                          <c:v>MER</c:v>
                        </c:pt>
                      </c15:dlblFieldTableCache>
                    </c15:dlblFTEntry>
                  </c15:dlblFieldTable>
                  <c15:showDataLabelsRange val="0"/>
                </c:ext>
              </c:extLst>
            </c:dLbl>
            <c:dLbl>
              <c:idx val="16"/>
              <c:layout/>
              <c:tx>
                <c:strRef>
                  <c:f>calculs!$U$70</c:f>
                  <c:strCache>
                    <c:ptCount val="1"/>
                    <c:pt idx="0">
                      <c:v>JEU</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{ED5F1FB4-EC38-4798-B657-4D0A4DAA62B2}</c15:txfldGUID>
                      <c15:f>calculs!$U$70</c15:f>
                      <c15:dlblFieldTableCache>
                        <c:ptCount val="1"/>
                        <c:pt idx="0">
                          <c:v>JEU</c:v>
                        </c:pt>
                      </c15:dlblFieldTableCache>
                    </c15:dlblFTEntry>
                  </c15:dlblFieldTable>
                  <c15:showDataLabelsRange val="0"/>
                </c:ext>
              </c:extLst>
            </c:dLbl>
            <c:dLbl>
              <c:idx val="17"/>
              <c:layout/>
              <c:tx>
                <c:strRef>
                  <c:f>calculs!$V$70</c:f>
                  <c:strCache>
                    <c:ptCount val="1"/>
                    <c:pt idx="0">
                      <c:v>VEN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{7A2393D6-A8F6-447A-A670-97A7EB6E8FCE}</c15:txfldGUID>
                      <c15:f>calculs!$V$70</c15:f>
                      <c15:dlblFieldTableCache>
                        <c:ptCount val="1"/>
                        <c:pt idx="0">
                          <c:v>VEN</c:v>
                        </c:pt>
                      </c15:dlblFieldTableCache>
                    </c15:dlblFTEntry>
                  </c15:dlblFieldTable>
                  <c15:showDataLabelsRange val="0"/>
                </c:ext>
              </c:extLst>
            </c:dLbl>
            <c:dLbl>
              <c:idx val="18"/>
              <c:layout/>
              <c:tx>
                <c:strRef>
                  <c:f>calculs!$W$70</c:f>
                  <c:strCache>
                    <c:ptCount val="1"/>
                    <c:pt idx="0">
                      <c:v>SAM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{E87D4FA4-316B-4F57-89E6-0F934B669C6C}</c15:txfldGUID>
                      <c15:f>calculs!$W$70</c15:f>
                      <c15:dlblFieldTableCache>
                        <c:ptCount val="1"/>
                        <c:pt idx="0">
                          <c:v>SAM</c:v>
                        </c:pt>
                      </c15:dlblFieldTableCache>
                    </c15:dlblFTEntry>
                  </c15:dlblFieldTable>
                  <c15:showDataLabelsRange val="0"/>
                </c:ext>
              </c:extLst>
            </c:dLbl>
            <c:dLbl>
              <c:idx val="19"/>
              <c:layout/>
              <c:tx>
                <c:strRef>
                  <c:f>calculs!$X$70</c:f>
                  <c:strCache>
                    <c:ptCount val="1"/>
                    <c:pt idx="0">
                      <c:v>DIM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{122B977C-16AE-458F-86D6-64E9EECEFA28}</c15:txfldGUID>
                      <c15:f>calculs!$X$70</c15:f>
                      <c15:dlblFieldTableCache>
                        <c:ptCount val="1"/>
                        <c:pt idx="0">
                          <c:v>DIM</c:v>
                        </c:pt>
                      </c15:dlblFieldTableCache>
                    </c15:dlblFTEntry>
                  </c15:dlblFieldTable>
                  <c15:showDataLabelsRange val="0"/>
                </c:ext>
              </c:extLst>
            </c:dLbl>
            <c:dLbl>
              <c:idx val="20"/>
              <c:layout/>
              <c:tx>
                <c:strRef>
                  <c:f>calculs!$Y$70</c:f>
                  <c:strCache>
                    <c:ptCount val="1"/>
                    <c:pt idx="0">
                      <c:v>LUN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{3BF4C3F1-98D6-48F7-BEE7-B6D4FB40096A}</c15:txfldGUID>
                      <c15:f>calculs!$Y$70</c15:f>
                      <c15:dlblFieldTableCache>
                        <c:ptCount val="1"/>
                        <c:pt idx="0">
                          <c:v>LUN</c:v>
                        </c:pt>
                      </c15:dlblFieldTableCache>
                    </c15:dlblFTEntry>
                  </c15:dlblFieldTable>
                  <c15:showDataLabelsRange val="0"/>
                </c:ext>
              </c:extLst>
            </c:dLbl>
            <c:dLbl>
              <c:idx val="21"/>
              <c:layout/>
              <c:tx>
                <c:strRef>
                  <c:f>calculs!$Z$70</c:f>
                  <c:strCache>
                    <c:ptCount val="1"/>
                    <c:pt idx="0">
                      <c:v>MAR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{50A02D30-B091-49B8-940B-A0F04471DDE3}</c15:txfldGUID>
                      <c15:f>calculs!$Z$70</c15:f>
                      <c15:dlblFieldTableCache>
                        <c:ptCount val="1"/>
                        <c:pt idx="0">
                          <c:v>MAR</c:v>
                        </c:pt>
                      </c15:dlblFieldTableCache>
                    </c15:dlblFTEntry>
                  </c15:dlblFieldTable>
                  <c15:showDataLabelsRange val="0"/>
                </c:ext>
              </c:extLst>
            </c:dLbl>
            <c:dLbl>
              <c:idx val="22"/>
              <c:layout/>
              <c:tx>
                <c:strRef>
                  <c:f>calculs!$AA$70</c:f>
                  <c:strCache>
                    <c:ptCount val="1"/>
                    <c:pt idx="0">
                      <c:v>MER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{23846A54-0583-4C7B-922C-5FB8606E325E}</c15:txfldGUID>
                      <c15:f>calculs!$AA$70</c15:f>
                      <c15:dlblFieldTableCache>
                        <c:ptCount val="1"/>
                        <c:pt idx="0">
                          <c:v>MER</c:v>
                        </c:pt>
                      </c15:dlblFieldTableCache>
                    </c15:dlblFTEntry>
                  </c15:dlblFieldTable>
                  <c15:showDataLabelsRange val="0"/>
                </c:ext>
              </c:extLst>
            </c:dLbl>
            <c:dLbl>
              <c:idx val="23"/>
              <c:layout/>
              <c:tx>
                <c:strRef>
                  <c:f>calculs!$AB$70</c:f>
                  <c:strCache>
                    <c:ptCount val="1"/>
                    <c:pt idx="0">
                      <c:v>JEU</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{659B01A9-BF35-48F3-B829-54AC72A239BD}</c15:txfldGUID>
                      <c15:f>calculs!$AB$70</c15:f>
                      <c15:dlblFieldTableCache>
                        <c:ptCount val="1"/>
                        <c:pt idx="0">
                          <c:v>JEU</c:v>
                        </c:pt>
                      </c15:dlblFieldTableCache>
                    </c15:dlblFTEntry>
                  </c15:dlblFieldTable>
                  <c15:showDataLabelsRange val="0"/>
                </c:ext>
              </c:extLst>
            </c:dLbl>
            <c:dLbl>
              <c:idx val="24"/>
              <c:layout/>
              <c:tx>
                <c:strRef>
                  <c:f>calculs!$AC$70</c:f>
                  <c:strCache>
                    <c:ptCount val="1"/>
                    <c:pt idx="0">
                      <c:v>VEN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{86AB2519-34E0-426F-8A76-BFC4CB014B2F}</c15:txfldGUID>
                      <c15:f>calculs!$AC$70</c15:f>
                      <c15:dlblFieldTableCache>
                        <c:ptCount val="1"/>
                        <c:pt idx="0">
                          <c:v>VEN</c:v>
                        </c:pt>
                      </c15:dlblFieldTableCache>
                    </c15:dlblFTEntry>
                  </c15:dlblFieldTable>
                  <c15:showDataLabelsRange val="0"/>
                </c:ext>
              </c:extLst>
            </c:dLbl>
            <c:dLbl>
              <c:idx val="25"/>
              <c:layout/>
              <c:tx>
                <c:strRef>
                  <c:f>calculs!$AD$70</c:f>
                  <c:strCache>
                    <c:ptCount val="1"/>
                    <c:pt idx="0">
                      <c:v>SAM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{297ADE65-AA00-4C0B-976B-2B5D092BC88F}</c15:txfldGUID>
                      <c15:f>calculs!$AD$70</c15:f>
                      <c15:dlblFieldTableCache>
                        <c:ptCount val="1"/>
                        <c:pt idx="0">
                          <c:v>SAM</c:v>
                        </c:pt>
                      </c15:dlblFieldTableCache>
                    </c15:dlblFTEntry>
                  </c15:dlblFieldTable>
                  <c15:showDataLabelsRange val="0"/>
                </c:ext>
              </c:extLst>
            </c:dLbl>
            <c:dLbl>
              <c:idx val="26"/>
              <c:layout/>
              <c:tx>
                <c:strRef>
                  <c:f>calculs!$AE$70</c:f>
                  <c:strCache>
                    <c:ptCount val="1"/>
                    <c:pt idx="0">
                      <c:v>DIM</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{4ED2BC2D-937D-40A7-964A-8F635B7C1ECC}</c15:txfldGUID>
                      <c15:f>calculs!$AE$70</c15:f>
                      <c15:dlblFieldTableCache>
                        <c:ptCount val="1"/>
                        <c:pt idx="0">
                          <c:v>DIM</c:v>
                        </c:pt>
                      </c15:dlblFieldTableCache>
                    </c15:dlblFTEntry>
                  </c15:dlblFieldTable>
                  <c15:showDataLabelsRange val="0"/>
                </c:ext>
              </c:extLst>
            </c:dLbl>
            <c:dLbl>
              <c:idx val="27"/>
              <c:layout/>
              <c:tx>
                <c:strRef>
                  <c:f>calculs!$AF$70</c:f>
                  <c:strCache>
                    <c:ptCount val="1"/>
                    <c:pt idx="0">
                      <c:v>LUN</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{3871ACA1-2F05-4113-AA4E-47FC2E57A0DD}</c15:txfldGUID>
                      <c15:f>calculs!$AF$70</c15:f>
                      <c15:dlblFieldTableCache>
                        <c:ptCount val="1"/>
                        <c:pt idx="0">
                          <c:v>LUN</c:v>
                        </c:pt>
                      </c15:dlblFieldTableCache>
                    </c15:dlblFTEntry>
                  </c15:dlblFieldTable>
                  <c15:showDataLabelsRange val="0"/>
                </c:ext>
              </c:extLst>
            </c:dLbl>
            <c:dLbl>
              <c:idx val="28"/>
              <c:layout/>
              <c:tx>
                <c:strRef>
                  <c:f>calculs!$AG$70</c:f>
                  <c:strCache>
                    <c:ptCount val="1"/>
                    <c:pt idx="0">
                      <c:v>MAR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{E2B80D61-B057-4427-A7D9-063301421C00}</c15:txfldGUID>
                      <c15:f>calculs!$AG$70</c15:f>
                      <c15:dlblFieldTableCache>
                        <c:ptCount val="1"/>
                        <c:pt idx="0">
                          <c:v>MAR</c:v>
                        </c:pt>
                      </c15:dlblFieldTableCache>
                    </c15:dlblFTEntry>
                  </c15:dlblFieldTable>
                  <c15:showDataLabelsRange val="0"/>
                </c:ext>
              </c:extLst>
            </c:dLbl>
            <c:dLbl>
              <c:idx val="29"/>
              <c:layout/>
              <c:tx>
                <c:strRef>
                  <c:f>calculs!$AH$70</c:f>
                  <c:strCache>
                    <c:ptCount val="1"/>
                    <c:pt idx="0">
                      <c:v>MER</c:v>
                    </c:pt>
                  </c:strCache>
                </c:strRef>
              </c:tx>
              <c:dLblPos val="ctr"/>
              <c:showLegendKey val="0"/>
              <c:showVal val="1"/>
              <c:showCatName val="0"/>
              <c:showSerName val="0"/>
              <c:showPercent val="0"/>
              <c:showBubbleSize val="0"/>
              <c:extLst>
                <c:ext xmlns:c15="http://schemas.microsoft.com/office/drawing/2012/chart" uri="{CE6537A1-D6FC-4f65-9D91-7224C49458BB}">
                  <c15:layout/>
                  <c15:dlblFieldTable>
                    <c15:dlblFTEntry>
                      <c15:txfldGUID>{34344DD4-77C4-457C-BD89-BD7D475694E9}</c15:txfldGUID>
                      <c15:f>calculs!$AH$70</c15:f>
                      <c15:dlblFieldTableCache>
                        <c:ptCount val="1"/>
                        <c:pt idx="0">
                          <c:v>MER</c:v>
                        </c:pt>
                      </c15:dlblFieldTableCache>
                    </c15:dlblFTEntry>
                  </c15:dlblFieldTable>
                  <c15:showDataLabelsRange val="0"/>
                </c:ext>
              </c:extLst>
            </c:dLbl>
            <c:spPr>
              <a:noFill/>
              <a:ln>
                <a:noFill/>
              </a:ln>
              <a:effectLst/>
            </c:spPr>
            <c:txPr>
              <a:bodyPr/>
              <a:lstStyle/>
              <a:p>
                <a:pPr>
                  <a:defRPr sz="75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calculs!$E$69:$AH$69</c:f>
              <c:numCache>
                <c:formatCode>General</c:formatCode>
                <c:ptCount val="30"/>
                <c:pt idx="0">
                  <c:v>2.2999999999999998</c:v>
                </c:pt>
                <c:pt idx="1">
                  <c:v>2.2999999999999998</c:v>
                </c:pt>
                <c:pt idx="2">
                  <c:v>2.2999999999999998</c:v>
                </c:pt>
                <c:pt idx="3">
                  <c:v>2.2999999999999998</c:v>
                </c:pt>
                <c:pt idx="4">
                  <c:v>2.2999999999999998</c:v>
                </c:pt>
                <c:pt idx="5">
                  <c:v>2.2999999999999998</c:v>
                </c:pt>
                <c:pt idx="6">
                  <c:v>2.2999999999999998</c:v>
                </c:pt>
                <c:pt idx="7">
                  <c:v>2.2999999999999998</c:v>
                </c:pt>
                <c:pt idx="8">
                  <c:v>2.2999999999999998</c:v>
                </c:pt>
                <c:pt idx="9">
                  <c:v>2.2999999999999998</c:v>
                </c:pt>
                <c:pt idx="10">
                  <c:v>2.2999999999999998</c:v>
                </c:pt>
                <c:pt idx="11">
                  <c:v>2.2999999999999998</c:v>
                </c:pt>
                <c:pt idx="12">
                  <c:v>2.2999999999999998</c:v>
                </c:pt>
                <c:pt idx="13">
                  <c:v>2.2999999999999998</c:v>
                </c:pt>
                <c:pt idx="14">
                  <c:v>2.2999999999999998</c:v>
                </c:pt>
                <c:pt idx="15">
                  <c:v>2.2999999999999998</c:v>
                </c:pt>
                <c:pt idx="16">
                  <c:v>2.2999999999999998</c:v>
                </c:pt>
                <c:pt idx="17">
                  <c:v>2.2999999999999998</c:v>
                </c:pt>
                <c:pt idx="18">
                  <c:v>2.2999999999999998</c:v>
                </c:pt>
                <c:pt idx="19">
                  <c:v>2.2999999999999998</c:v>
                </c:pt>
                <c:pt idx="20">
                  <c:v>2.2999999999999998</c:v>
                </c:pt>
                <c:pt idx="21">
                  <c:v>2.2999999999999998</c:v>
                </c:pt>
                <c:pt idx="22">
                  <c:v>2.2999999999999998</c:v>
                </c:pt>
                <c:pt idx="23">
                  <c:v>2.2999999999999998</c:v>
                </c:pt>
                <c:pt idx="24">
                  <c:v>2.2999999999999998</c:v>
                </c:pt>
                <c:pt idx="25">
                  <c:v>2.2999999999999998</c:v>
                </c:pt>
                <c:pt idx="26">
                  <c:v>2.2999999999999998</c:v>
                </c:pt>
                <c:pt idx="27">
                  <c:v>2.2999999999999998</c:v>
                </c:pt>
                <c:pt idx="28">
                  <c:v>2.2999999999999998</c:v>
                </c:pt>
                <c:pt idx="29">
                  <c:v>2.2999999999999998</c:v>
                </c:pt>
              </c:numCache>
            </c:numRef>
          </c:val>
          <c:smooth val="0"/>
        </c:ser>
        <c:ser>
          <c:idx val="25"/>
          <c:order val="25"/>
          <c:tx>
            <c:strRef>
              <c:f>calculs!$D$59</c:f>
              <c:strCache>
                <c:ptCount val="1"/>
                <c:pt idx="0">
                  <c:v>août 2012 -Bande supérieure</c:v>
                </c:pt>
              </c:strCache>
            </c:strRef>
          </c:tx>
          <c:spPr>
            <a:ln w="228600" cap="sq">
              <a:solidFill>
                <a:schemeClr val="accent3"/>
              </a:solidFill>
            </a:ln>
          </c:spPr>
          <c:marker>
            <c:symbol val="none"/>
          </c:marker>
          <c:val>
            <c:numRef>
              <c:f>calculs!$E$59:$AH$59</c:f>
              <c:numCache>
                <c:formatCode>General</c:formatCode>
                <c:ptCount val="30"/>
                <c:pt idx="0">
                  <c:v>13</c:v>
                </c:pt>
                <c:pt idx="1">
                  <c:v>13</c:v>
                </c:pt>
                <c:pt idx="2">
                  <c:v>13</c:v>
                </c:pt>
                <c:pt idx="3">
                  <c:v>13</c:v>
                </c:pt>
                <c:pt idx="4">
                  <c:v>13</c:v>
                </c:pt>
                <c:pt idx="5">
                  <c:v>13</c:v>
                </c:pt>
                <c:pt idx="6">
                  <c:v>13</c:v>
                </c:pt>
                <c:pt idx="7">
                  <c:v>13</c:v>
                </c:pt>
                <c:pt idx="8">
                  <c:v>13</c:v>
                </c:pt>
                <c:pt idx="9">
                  <c:v>13</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26"/>
          <c:order val="26"/>
          <c:tx>
            <c:strRef>
              <c:f>calculs!$D$62</c:f>
              <c:strCache>
                <c:ptCount val="1"/>
                <c:pt idx="0">
                  <c:v>sept 2012 -Bande supérieure</c:v>
                </c:pt>
              </c:strCache>
            </c:strRef>
          </c:tx>
          <c:spPr>
            <a:ln w="228600" cap="sq">
              <a:solidFill>
                <a:schemeClr val="accent2"/>
              </a:solidFill>
            </a:ln>
          </c:spPr>
          <c:marker>
            <c:symbol val="none"/>
          </c:marker>
          <c:val>
            <c:numRef>
              <c:f>calculs!$E$62:$AH$62</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numCache>
            </c:numRef>
          </c:val>
          <c:smooth val="0"/>
        </c:ser>
        <c:dLbls>
          <c:showLegendKey val="0"/>
          <c:showVal val="0"/>
          <c:showCatName val="0"/>
          <c:showSerName val="0"/>
          <c:showPercent val="0"/>
          <c:showBubbleSize val="0"/>
        </c:dLbls>
        <c:marker val="1"/>
        <c:smooth val="0"/>
        <c:axId val="214810184"/>
        <c:axId val="115520360"/>
      </c:lineChart>
      <c:dateAx>
        <c:axId val="214810184"/>
        <c:scaling>
          <c:orientation val="minMax"/>
        </c:scaling>
        <c:delete val="1"/>
        <c:axPos val="b"/>
        <c:majorGridlines>
          <c:spPr>
            <a:ln w="3175">
              <a:solidFill>
                <a:schemeClr val="tx2">
                  <a:lumMod val="20000"/>
                  <a:lumOff val="80000"/>
                  <a:alpha val="85000"/>
                </a:schemeClr>
              </a:solidFill>
            </a:ln>
          </c:spPr>
        </c:majorGridlines>
        <c:numFmt formatCode="d" sourceLinked="0"/>
        <c:majorTickMark val="out"/>
        <c:minorTickMark val="none"/>
        <c:tickLblPos val="nextTo"/>
        <c:crossAx val="115520360"/>
        <c:crosses val="autoZero"/>
        <c:auto val="1"/>
        <c:lblOffset val="100"/>
        <c:baseTimeUnit val="days"/>
      </c:dateAx>
      <c:valAx>
        <c:axId val="115520360"/>
        <c:scaling>
          <c:orientation val="minMax"/>
          <c:max val="13.5"/>
          <c:min val="0"/>
        </c:scaling>
        <c:delete val="1"/>
        <c:axPos val="l"/>
        <c:numFmt formatCode="General" sourceLinked="1"/>
        <c:majorTickMark val="out"/>
        <c:minorTickMark val="none"/>
        <c:tickLblPos val="nextTo"/>
        <c:crossAx val="214810184"/>
        <c:crosses val="autoZero"/>
        <c:crossBetween val="between"/>
        <c:majorUnit val="1"/>
      </c:valAx>
    </c:plotArea>
    <c:plotVisOnly val="1"/>
    <c:dispBlanksAs val="gap"/>
    <c:showDLblsOverMax val="0"/>
  </c:chart>
  <c:spPr>
    <a:noFill/>
    <a:ln>
      <a:noFill/>
    </a:ln>
  </c:spPr>
  <c:txPr>
    <a:bodyPr/>
    <a:lstStyle/>
    <a:p>
      <a:pPr>
        <a:defRPr sz="1000"/>
      </a:pPr>
      <a:endParaRPr lang="fr-FR"/>
    </a:p>
  </c:txPr>
  <c:printSettings>
    <c:headerFooter/>
    <c:pageMargins b="0.75" l="0.7" r="0.7" t="1" header="0.3" footer="0.3"/>
    <c:pageSetup orientation="landscape"/>
  </c:printSettings>
</c:chartSpace>
</file>

<file path=xl/ctrlProps/ctrlProp1.xml><?xml version="1.0" encoding="utf-8"?>
<formControlPr xmlns="http://schemas.microsoft.com/office/spreadsheetml/2009/9/main" objectType="Scroll" dx="16" fmlaLink="FenêtreDécalage" horiz="1" max="100" noThreeD="1" page="7"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323850</xdr:colOff>
      <xdr:row>1</xdr:row>
      <xdr:rowOff>190500</xdr:rowOff>
    </xdr:from>
    <xdr:to>
      <xdr:col>6</xdr:col>
      <xdr:colOff>22479</xdr:colOff>
      <xdr:row>16</xdr:row>
      <xdr:rowOff>161925</xdr:rowOff>
    </xdr:to>
    <xdr:graphicFrame macro="">
      <xdr:nvGraphicFramePr>
        <xdr:cNvPr id="7" name="GraphiqueChronologie" descr="Chronologie déroulante des activités du projet" title="GraphiqueChronolog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18</xdr:row>
          <xdr:rowOff>209550</xdr:rowOff>
        </xdr:from>
        <xdr:to>
          <xdr:col>6</xdr:col>
          <xdr:colOff>0</xdr:colOff>
          <xdr:row>20</xdr:row>
          <xdr:rowOff>0</xdr:rowOff>
        </xdr:to>
        <xdr:sp macro="" textlink="">
          <xdr:nvSpPr>
            <xdr:cNvPr id="1025" name="Barre de défilement" descr="Cliquez sur la barre de défilement pour modifier la période du projet affichée dans le graphique chronologique ou entrez la date de début pour afficher les activités de projet dans la cellule D20."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1" name="Activités" displayName="Activités" ref="B22:F34" totalsRowShown="0" headerRowDxfId="6" dataDxfId="5">
  <autoFilter ref="B22:F34"/>
  <sortState ref="C20:F25">
    <sortCondition ref="D19:D25"/>
  </sortState>
  <tableColumns count="5">
    <tableColumn id="5" name="ID" dataDxfId="4">
      <calculatedColumnFormula>N(B22)+1</calculatedColumnFormula>
    </tableColumn>
    <tableColumn id="1" name="ACTIVITÉ" dataDxfId="3"/>
    <tableColumn id="2" name="DÉBUT" dataDxfId="2">
      <calculatedColumnFormula>D22+10</calculatedColumnFormula>
    </tableColumn>
    <tableColumn id="3" name="FIN" dataDxfId="1">
      <calculatedColumnFormula>Activités[[#This Row],[DÉBUT]]+2</calculatedColumnFormula>
    </tableColumn>
    <tableColumn id="4" name="REMARQUES" dataDxfId="0"/>
  </tableColumns>
  <tableStyleInfo name="Project Timeline" showFirstColumn="0" showLastColumn="0" showRowStripes="1" showColumnStripes="0"/>
  <extLst>
    <ext xmlns:x14="http://schemas.microsoft.com/office/spreadsheetml/2009/9/main" uri="{504A1905-F514-4f6f-8877-14C23A59335A}">
      <x14:table altText="Activities Table" altTextSummary="This table is for the user to enter and manage academic activities.  The columns are Activity, Start, End, and Notes.  All activities entered in the table will be rendered in the Timeline Chart."/>
    </ext>
  </extLst>
</table>
</file>

<file path=xl/theme/theme1.xml><?xml version="1.0" encoding="utf-8"?>
<a:theme xmlns:a="http://schemas.openxmlformats.org/drawingml/2006/main" name="Office Theme">
  <a:themeElements>
    <a:clrScheme name="Project Timeline">
      <a:dk1>
        <a:sysClr val="windowText" lastClr="000000"/>
      </a:dk1>
      <a:lt1>
        <a:sysClr val="window" lastClr="FFFFFF"/>
      </a:lt1>
      <a:dk2>
        <a:srgbClr val="37464D"/>
      </a:dk2>
      <a:lt2>
        <a:srgbClr val="F0ECEB"/>
      </a:lt2>
      <a:accent1>
        <a:srgbClr val="FE713B"/>
      </a:accent1>
      <a:accent2>
        <a:srgbClr val="0CA8C7"/>
      </a:accent2>
      <a:accent3>
        <a:srgbClr val="9BD174"/>
      </a:accent3>
      <a:accent4>
        <a:srgbClr val="8F6BA2"/>
      </a:accent4>
      <a:accent5>
        <a:srgbClr val="FFED56"/>
      </a:accent5>
      <a:accent6>
        <a:srgbClr val="E95877"/>
      </a:accent6>
      <a:hlink>
        <a:srgbClr val="47C2D9"/>
      </a:hlink>
      <a:folHlink>
        <a:srgbClr val="8F6BA2"/>
      </a:folHlink>
    </a:clrScheme>
    <a:fontScheme name="Project Timeline">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pageSetUpPr autoPageBreaks="0"/>
  </sheetPr>
  <dimension ref="A1:G34"/>
  <sheetViews>
    <sheetView showGridLines="0" tabSelected="1" zoomScaleNormal="100" workbookViewId="0"/>
  </sheetViews>
  <sheetFormatPr baseColWidth="10" defaultColWidth="9.140625" defaultRowHeight="17.25" customHeight="1" x14ac:dyDescent="0.2"/>
  <cols>
    <col min="1" max="1" width="5.42578125" style="8" customWidth="1"/>
    <col min="2" max="2" width="9" style="8" hidden="1" customWidth="1"/>
    <col min="3" max="3" width="31" style="8" customWidth="1"/>
    <col min="4" max="5" width="18.42578125" style="8" customWidth="1"/>
    <col min="6" max="6" width="56.85546875" style="8" customWidth="1"/>
    <col min="7" max="7" width="5.5703125" style="8" customWidth="1"/>
    <col min="8" max="16384" width="9.140625" style="8"/>
  </cols>
  <sheetData>
    <row r="1" spans="1:7" s="7" customFormat="1" ht="47.25" customHeight="1" thickBot="1" x14ac:dyDescent="0.25">
      <c r="A1" s="4"/>
      <c r="B1" s="5"/>
      <c r="C1" s="19" t="s">
        <v>16</v>
      </c>
      <c r="D1" s="4"/>
      <c r="E1" s="4"/>
      <c r="F1" s="4"/>
      <c r="G1" s="6"/>
    </row>
    <row r="2" spans="1:7" ht="17.25" customHeight="1" thickTop="1" x14ac:dyDescent="0.2">
      <c r="C2" s="9"/>
    </row>
    <row r="18" spans="2:6" ht="17.25" customHeight="1" thickBot="1" x14ac:dyDescent="0.25">
      <c r="C18" s="10"/>
      <c r="D18" s="10"/>
      <c r="E18" s="10"/>
      <c r="F18" s="10"/>
    </row>
    <row r="19" spans="2:6" ht="17.25" customHeight="1" thickTop="1" x14ac:dyDescent="0.2">
      <c r="C19" s="11"/>
      <c r="D19" s="11"/>
      <c r="E19" s="11"/>
      <c r="F19" s="11"/>
    </row>
    <row r="20" spans="2:6" ht="17.25" customHeight="1" x14ac:dyDescent="0.3">
      <c r="C20" s="17" t="s">
        <v>17</v>
      </c>
      <c r="D20" s="18">
        <f ca="1">TODAY()-3</f>
        <v>41142</v>
      </c>
      <c r="E20" s="11"/>
      <c r="F20" s="11"/>
    </row>
    <row r="21" spans="2:6" ht="17.25" customHeight="1" x14ac:dyDescent="0.2">
      <c r="C21" s="11"/>
      <c r="D21" s="11"/>
      <c r="E21" s="11"/>
      <c r="F21" s="11"/>
    </row>
    <row r="22" spans="2:6" ht="17.25" customHeight="1" x14ac:dyDescent="0.2">
      <c r="B22" s="12" t="s">
        <v>30</v>
      </c>
      <c r="C22" s="13" t="s">
        <v>18</v>
      </c>
      <c r="D22" s="13" t="s">
        <v>19</v>
      </c>
      <c r="E22" s="13" t="s">
        <v>20</v>
      </c>
      <c r="F22" s="13" t="s">
        <v>21</v>
      </c>
    </row>
    <row r="23" spans="2:6" ht="17.25" customHeight="1" x14ac:dyDescent="0.2">
      <c r="B23" s="12">
        <f t="shared" ref="B23:B28" si="0">N(B22)+1</f>
        <v>1</v>
      </c>
      <c r="C23" s="14" t="s">
        <v>3</v>
      </c>
      <c r="D23" s="15">
        <f ca="1">D20+3</f>
        <v>41145</v>
      </c>
      <c r="E23" s="15"/>
      <c r="F23" s="14"/>
    </row>
    <row r="24" spans="2:6" ht="17.25" customHeight="1" x14ac:dyDescent="0.2">
      <c r="B24" s="12">
        <f t="shared" si="0"/>
        <v>2</v>
      </c>
      <c r="C24" s="14" t="s">
        <v>4</v>
      </c>
      <c r="D24" s="15">
        <f t="shared" ref="D24:D34" ca="1" si="1">D23+10</f>
        <v>41155</v>
      </c>
      <c r="E24" s="15">
        <f ca="1">Activités[[#This Row],[DÉBUT]]+3</f>
        <v>41158</v>
      </c>
      <c r="F24" s="14"/>
    </row>
    <row r="25" spans="2:6" ht="17.25" customHeight="1" x14ac:dyDescent="0.2">
      <c r="B25" s="12">
        <f t="shared" si="0"/>
        <v>3</v>
      </c>
      <c r="C25" s="14" t="s">
        <v>6</v>
      </c>
      <c r="D25" s="15">
        <f ca="1">D24+1</f>
        <v>41156</v>
      </c>
      <c r="E25" s="15">
        <f ca="1">Activités[[#This Row],[DÉBUT]]+3</f>
        <v>41159</v>
      </c>
      <c r="F25" s="14"/>
    </row>
    <row r="26" spans="2:6" ht="17.25" customHeight="1" x14ac:dyDescent="0.2">
      <c r="B26" s="12">
        <f t="shared" si="0"/>
        <v>4</v>
      </c>
      <c r="C26" s="14" t="s">
        <v>7</v>
      </c>
      <c r="D26" s="15">
        <f ca="1">D25+5</f>
        <v>41161</v>
      </c>
      <c r="E26" s="15"/>
      <c r="F26" s="14"/>
    </row>
    <row r="27" spans="2:6" ht="17.25" customHeight="1" x14ac:dyDescent="0.2">
      <c r="B27" s="12">
        <f t="shared" si="0"/>
        <v>5</v>
      </c>
      <c r="C27" s="14" t="s">
        <v>8</v>
      </c>
      <c r="D27" s="15">
        <f t="shared" ca="1" si="1"/>
        <v>41171</v>
      </c>
      <c r="E27" s="15">
        <f ca="1">Activités[[#This Row],[DÉBUT]]+2</f>
        <v>41173</v>
      </c>
      <c r="F27" s="14"/>
    </row>
    <row r="28" spans="2:6" ht="17.25" customHeight="1" x14ac:dyDescent="0.2">
      <c r="B28" s="12">
        <f t="shared" si="0"/>
        <v>6</v>
      </c>
      <c r="C28" s="14" t="s">
        <v>9</v>
      </c>
      <c r="D28" s="15">
        <f t="shared" ca="1" si="1"/>
        <v>41181</v>
      </c>
      <c r="E28" s="15">
        <f ca="1">Activités[[#This Row],[DÉBUT]]+2</f>
        <v>41183</v>
      </c>
      <c r="F28" s="14"/>
    </row>
    <row r="29" spans="2:6" ht="17.25" customHeight="1" x14ac:dyDescent="0.2">
      <c r="B29" s="16">
        <f t="shared" ref="B29:B34" si="2">N(B28)+1</f>
        <v>7</v>
      </c>
      <c r="C29" s="14" t="s">
        <v>10</v>
      </c>
      <c r="D29" s="15">
        <f t="shared" ca="1" si="1"/>
        <v>41191</v>
      </c>
      <c r="E29" s="15">
        <f ca="1">Activités[[#This Row],[DÉBUT]]+2</f>
        <v>41193</v>
      </c>
      <c r="F29" s="14"/>
    </row>
    <row r="30" spans="2:6" ht="17.25" customHeight="1" x14ac:dyDescent="0.2">
      <c r="B30" s="16">
        <f t="shared" si="2"/>
        <v>8</v>
      </c>
      <c r="C30" s="14" t="s">
        <v>11</v>
      </c>
      <c r="D30" s="15">
        <f t="shared" ca="1" si="1"/>
        <v>41201</v>
      </c>
      <c r="E30" s="15"/>
      <c r="F30" s="14"/>
    </row>
    <row r="31" spans="2:6" ht="17.25" customHeight="1" x14ac:dyDescent="0.2">
      <c r="B31" s="16">
        <f t="shared" si="2"/>
        <v>9</v>
      </c>
      <c r="C31" s="14" t="s">
        <v>12</v>
      </c>
      <c r="D31" s="15">
        <f t="shared" ca="1" si="1"/>
        <v>41211</v>
      </c>
      <c r="E31" s="15">
        <f ca="1">Activités[[#This Row],[DÉBUT]]+2</f>
        <v>41213</v>
      </c>
      <c r="F31" s="14"/>
    </row>
    <row r="32" spans="2:6" ht="17.25" customHeight="1" x14ac:dyDescent="0.2">
      <c r="B32" s="16">
        <f t="shared" si="2"/>
        <v>10</v>
      </c>
      <c r="C32" s="14" t="s">
        <v>13</v>
      </c>
      <c r="D32" s="15">
        <f t="shared" ca="1" si="1"/>
        <v>41221</v>
      </c>
      <c r="E32" s="15">
        <f ca="1">Activités[[#This Row],[DÉBUT]]+2</f>
        <v>41223</v>
      </c>
      <c r="F32" s="14"/>
    </row>
    <row r="33" spans="2:6" ht="17.25" customHeight="1" x14ac:dyDescent="0.2">
      <c r="B33" s="16">
        <f t="shared" si="2"/>
        <v>11</v>
      </c>
      <c r="C33" s="14" t="s">
        <v>14</v>
      </c>
      <c r="D33" s="15">
        <f t="shared" ca="1" si="1"/>
        <v>41231</v>
      </c>
      <c r="E33" s="15">
        <f ca="1">Activités[[#This Row],[DÉBUT]]+2</f>
        <v>41233</v>
      </c>
      <c r="F33" s="14"/>
    </row>
    <row r="34" spans="2:6" ht="17.25" customHeight="1" x14ac:dyDescent="0.2">
      <c r="B34" s="16">
        <f t="shared" si="2"/>
        <v>12</v>
      </c>
      <c r="C34" s="14" t="s">
        <v>15</v>
      </c>
      <c r="D34" s="15">
        <f t="shared" ca="1" si="1"/>
        <v>41241</v>
      </c>
      <c r="E34" s="15"/>
      <c r="F34" s="14"/>
    </row>
  </sheetData>
  <sheetProtection selectLockedCells="1"/>
  <printOptions horizontalCentered="1"/>
  <pageMargins left="0.25" right="0.25" top="0.5" bottom="0.5" header="0.3" footer="0.3"/>
  <pageSetup fitToHeight="0" orientation="landscape" r:id="rId1"/>
  <rowBreaks count="2" manualBreakCount="2">
    <brk id="18" max="16383" man="1"/>
    <brk id="20" max="16383" man="1"/>
  </rowBreaks>
  <ignoredErrors>
    <ignoredError sqref="D24 D27:D34" unlockedFormula="1"/>
    <ignoredError sqref="D25:D26 E24:E25 D23"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arre de défilement">
              <controlPr defaultSize="0" autoPict="0" altText="Cliquez sur la barre de défilement pour modifier la période du projet affichée dans le graphique chronologique ou entrez la date de début pour afficher les activités de projet dans la cellule D20.">
                <anchor moveWithCells="1">
                  <from>
                    <xdr:col>4</xdr:col>
                    <xdr:colOff>47625</xdr:colOff>
                    <xdr:row>18</xdr:row>
                    <xdr:rowOff>209550</xdr:rowOff>
                  </from>
                  <to>
                    <xdr:col>6</xdr:col>
                    <xdr:colOff>0</xdr:colOff>
                    <xdr:row>20</xdr:row>
                    <xdr:rowOff>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2"/>
  <sheetViews>
    <sheetView topLeftCell="A10" workbookViewId="0">
      <selection activeCell="D28" sqref="D28"/>
    </sheetView>
  </sheetViews>
  <sheetFormatPr baseColWidth="10" defaultColWidth="9.140625" defaultRowHeight="12.75" x14ac:dyDescent="0.2"/>
  <cols>
    <col min="3" max="3" width="19.140625" bestFit="1" customWidth="1"/>
    <col min="4" max="4" width="24" bestFit="1" customWidth="1"/>
    <col min="5" max="34" width="10.85546875" customWidth="1"/>
    <col min="35" max="35" width="17.5703125" customWidth="1"/>
  </cols>
  <sheetData>
    <row r="1" spans="1:6" x14ac:dyDescent="0.2">
      <c r="A1" t="s">
        <v>1</v>
      </c>
    </row>
    <row r="3" spans="1:6" x14ac:dyDescent="0.2">
      <c r="C3" t="s">
        <v>2</v>
      </c>
      <c r="D3" s="1">
        <f ca="1">TODAY()</f>
        <v>41145</v>
      </c>
      <c r="E3" s="1"/>
    </row>
    <row r="4" spans="1:6" x14ac:dyDescent="0.2">
      <c r="D4">
        <v>5</v>
      </c>
    </row>
    <row r="6" spans="1:6" x14ac:dyDescent="0.2">
      <c r="E6" t="e">
        <f>NA()</f>
        <v>#N/A</v>
      </c>
    </row>
    <row r="7" spans="1:6" x14ac:dyDescent="0.2">
      <c r="E7" t="e">
        <f>NA()</f>
        <v>#N/A</v>
      </c>
    </row>
    <row r="8" spans="1:6" x14ac:dyDescent="0.2">
      <c r="E8" t="e">
        <f>NA()</f>
        <v>#N/A</v>
      </c>
    </row>
    <row r="9" spans="1:6" x14ac:dyDescent="0.2">
      <c r="C9" s="2" t="s">
        <v>29</v>
      </c>
      <c r="D9">
        <f ca="1">SUMPRODUCT( ((Activités[DÉBUT]&gt;=FenêtreDateDébut)+(Activités[FIN]&gt;=FenêtreDateDébut)&gt;0)*(Activités[DÉBUT]&lt;=(FenêtreDateDébut+FenêtreJours-1)) )</f>
        <v>5</v>
      </c>
      <c r="E9" t="e">
        <f>NA()</f>
        <v>#N/A</v>
      </c>
    </row>
    <row r="10" spans="1:6" x14ac:dyDescent="0.2">
      <c r="D10">
        <v>9</v>
      </c>
      <c r="E10" t="e">
        <f>NA()</f>
        <v>#N/A</v>
      </c>
    </row>
    <row r="11" spans="1:6" x14ac:dyDescent="0.2">
      <c r="D11">
        <f ca="1">D10-MIN(D10,D9)</f>
        <v>4</v>
      </c>
      <c r="E11" t="e">
        <f>NA()</f>
        <v>#N/A</v>
      </c>
    </row>
    <row r="12" spans="1:6" x14ac:dyDescent="0.2">
      <c r="E12" t="e">
        <f>NA()</f>
        <v>#N/A</v>
      </c>
    </row>
    <row r="13" spans="1:6" x14ac:dyDescent="0.2">
      <c r="C13" s="2"/>
      <c r="E13" t="e">
        <f>NA()</f>
        <v>#N/A</v>
      </c>
    </row>
    <row r="14" spans="1:6" x14ac:dyDescent="0.2">
      <c r="C14" s="2"/>
      <c r="E14" t="e">
        <f>NA()</f>
        <v>#N/A</v>
      </c>
    </row>
    <row r="15" spans="1:6" x14ac:dyDescent="0.2">
      <c r="C15" s="2"/>
      <c r="E15">
        <f t="array" aca="1" ref="E15" ca="1">INDEX(Activités[ID],MATCH(1, ((Activités[DÉBUT]&gt;=FenêtreDateDébut)+(Activités[FIN]&gt;=FenêtreDateDébut)&gt;0)*(Activités[DÉBUT]&lt;=(FenêtreDateDébut+FenêtreJours-1)), 0))</f>
        <v>1</v>
      </c>
      <c r="F15" t="e">
        <f t="shared" ref="F15:F23" ca="1" si="0">OFFSET(E15,-$D$11,)</f>
        <v>#N/A</v>
      </c>
    </row>
    <row r="16" spans="1:6" x14ac:dyDescent="0.2">
      <c r="C16" s="2"/>
      <c r="E16">
        <f t="array" aca="1" ref="E16" ca="1">INDEX(Activités[ID],MATCH(1, (Activités[ID]&gt;E15)*((Activités[DÉBUT]&gt;=FenêtreDateDébut)+(Activités[FIN]&gt;=FenêtreDateDébut)&gt;0)*(Activités[DÉBUT]&lt;=(FenêtreDateDébut+FenêtreJours-1)), 0))</f>
        <v>2</v>
      </c>
      <c r="F16" t="e">
        <f t="shared" ca="1" si="0"/>
        <v>#N/A</v>
      </c>
    </row>
    <row r="17" spans="1:35" x14ac:dyDescent="0.2">
      <c r="C17" s="2"/>
      <c r="E17">
        <f t="array" aca="1" ref="E17" ca="1">INDEX(Activités[ID],MATCH(1, (Activités[ID]&gt;E16)*((Activités[DÉBUT]&gt;=FenêtreDateDébut)+(Activités[FIN]&gt;=FenêtreDateDébut)&gt;0)*(Activités[DÉBUT]&lt;=(FenêtreDateDébut+FenêtreJours-1)), 0))</f>
        <v>3</v>
      </c>
      <c r="F17" t="e">
        <f t="shared" ca="1" si="0"/>
        <v>#N/A</v>
      </c>
    </row>
    <row r="18" spans="1:35" x14ac:dyDescent="0.2">
      <c r="E18">
        <f t="array" aca="1" ref="E18" ca="1">INDEX(Activités[ID],MATCH(1, (Activités[ID]&gt;E17)*((Activités[DÉBUT]&gt;=FenêtreDateDébut)+(Activités[FIN]&gt;=FenêtreDateDébut)&gt;0)*(Activités[DÉBUT]&lt;=(FenêtreDateDébut+FenêtreJours-1)), 0))</f>
        <v>4</v>
      </c>
      <c r="F18" t="e">
        <f t="shared" ca="1" si="0"/>
        <v>#N/A</v>
      </c>
    </row>
    <row r="19" spans="1:35" x14ac:dyDescent="0.2">
      <c r="E19">
        <f t="array" aca="1" ref="E19" ca="1">INDEX(Activités[ID],MATCH(1, (Activités[ID]&gt;E18)*((Activités[DÉBUT]&gt;=FenêtreDateDébut)+(Activités[FIN]&gt;=FenêtreDateDébut)&gt;0)*(Activités[DÉBUT]&lt;=(FenêtreDateDébut+FenêtreJours-1)), 0))</f>
        <v>5</v>
      </c>
      <c r="F19">
        <f t="shared" ca="1" si="0"/>
        <v>1</v>
      </c>
    </row>
    <row r="20" spans="1:35" x14ac:dyDescent="0.2">
      <c r="E20" t="e">
        <f t="array" aca="1" ref="E20" ca="1">INDEX(Activités[ID],MATCH(1, (Activités[ID]&gt;E19)*((Activités[DÉBUT]&gt;=FenêtreDateDébut)+(Activités[FIN]&gt;=FenêtreDateDébut)&gt;0)*(Activités[DÉBUT]&lt;=(FenêtreDateDébut+FenêtreJours-1)), 0))</f>
        <v>#N/A</v>
      </c>
      <c r="F20">
        <f t="shared" ca="1" si="0"/>
        <v>2</v>
      </c>
    </row>
    <row r="21" spans="1:35" x14ac:dyDescent="0.2">
      <c r="E21" t="e">
        <f t="array" aca="1" ref="E21" ca="1">INDEX(Activités[ID],MATCH(1, (Activités[ID]&gt;E20)*((Activités[DÉBUT]&gt;=FenêtreDateDébut)+(Activités[FIN]&gt;=FenêtreDateDébut)&gt;0)*(Activités[DÉBUT]&lt;=(FenêtreDateDébut+FenêtreJours-1)), 0))</f>
        <v>#N/A</v>
      </c>
      <c r="F21">
        <f t="shared" ca="1" si="0"/>
        <v>3</v>
      </c>
    </row>
    <row r="22" spans="1:35" x14ac:dyDescent="0.2">
      <c r="E22" t="e">
        <f t="array" aca="1" ref="E22" ca="1">INDEX(Activités[ID],MATCH(1, (Activités[ID]&gt;E21)*((Activités[DÉBUT]&gt;=FenêtreDateDébut)+(Activités[FIN]&gt;=FenêtreDateDébut)&gt;0)*(Activités[DÉBUT]&lt;=(FenêtreDateDébut+FenêtreJours-1)), 0))</f>
        <v>#N/A</v>
      </c>
      <c r="F22">
        <f t="shared" ca="1" si="0"/>
        <v>4</v>
      </c>
    </row>
    <row r="23" spans="1:35" x14ac:dyDescent="0.2">
      <c r="E23" t="e">
        <f t="array" aca="1" ref="E23" ca="1">INDEX(Activités[ID],MATCH(1, (Activités[ID]&gt;E22)*((Activités[DÉBUT]&gt;=FenêtreDateDébut)+(Activités[FIN]&gt;=FenêtreDateDébut)&gt;0)*(Activités[DÉBUT]&lt;=(FenêtreDateDébut+FenêtreJours-1)), 0))</f>
        <v>#N/A</v>
      </c>
      <c r="F23">
        <f t="shared" ca="1" si="0"/>
        <v>5</v>
      </c>
    </row>
    <row r="25" spans="1:35" x14ac:dyDescent="0.2">
      <c r="C25" t="s">
        <v>22</v>
      </c>
      <c r="D25" s="1">
        <f ca="1">DateDébut+FenêtreDécalage</f>
        <v>41142</v>
      </c>
    </row>
    <row r="26" spans="1:35" x14ac:dyDescent="0.2">
      <c r="C26" t="s">
        <v>23</v>
      </c>
      <c r="D26">
        <v>0</v>
      </c>
    </row>
    <row r="28" spans="1:35" x14ac:dyDescent="0.2">
      <c r="C28" t="s">
        <v>24</v>
      </c>
      <c r="D28" s="2">
        <f ca="1">'Chronologie du projet'!D20</f>
        <v>41142</v>
      </c>
    </row>
    <row r="29" spans="1:35" x14ac:dyDescent="0.2">
      <c r="C29" t="s">
        <v>25</v>
      </c>
      <c r="D29">
        <v>30</v>
      </c>
    </row>
    <row r="31" spans="1:35" x14ac:dyDescent="0.2">
      <c r="A31" t="s">
        <v>0</v>
      </c>
      <c r="B31" t="s">
        <v>26</v>
      </c>
      <c r="C31" t="s">
        <v>27</v>
      </c>
      <c r="D31" t="s">
        <v>28</v>
      </c>
      <c r="E31" s="1">
        <f ca="1">FenêtreDateDébut</f>
        <v>41142</v>
      </c>
      <c r="F31" s="1">
        <f t="shared" ref="F31:AI31" ca="1" si="1">E31+1</f>
        <v>41143</v>
      </c>
      <c r="G31" s="1">
        <f t="shared" ca="1" si="1"/>
        <v>41144</v>
      </c>
      <c r="H31" s="1">
        <f t="shared" ca="1" si="1"/>
        <v>41145</v>
      </c>
      <c r="I31" s="1">
        <f t="shared" ca="1" si="1"/>
        <v>41146</v>
      </c>
      <c r="J31" s="1">
        <f t="shared" ca="1" si="1"/>
        <v>41147</v>
      </c>
      <c r="K31" s="1">
        <f t="shared" ca="1" si="1"/>
        <v>41148</v>
      </c>
      <c r="L31" s="1">
        <f t="shared" ca="1" si="1"/>
        <v>41149</v>
      </c>
      <c r="M31" s="1">
        <f t="shared" ca="1" si="1"/>
        <v>41150</v>
      </c>
      <c r="N31" s="1">
        <f t="shared" ca="1" si="1"/>
        <v>41151</v>
      </c>
      <c r="O31" s="1">
        <f t="shared" ca="1" si="1"/>
        <v>41152</v>
      </c>
      <c r="P31" s="1">
        <f t="shared" ca="1" si="1"/>
        <v>41153</v>
      </c>
      <c r="Q31" s="1">
        <f t="shared" ca="1" si="1"/>
        <v>41154</v>
      </c>
      <c r="R31" s="1">
        <f t="shared" ca="1" si="1"/>
        <v>41155</v>
      </c>
      <c r="S31" s="1">
        <f t="shared" ca="1" si="1"/>
        <v>41156</v>
      </c>
      <c r="T31" s="1">
        <f t="shared" ca="1" si="1"/>
        <v>41157</v>
      </c>
      <c r="U31" s="1">
        <f t="shared" ca="1" si="1"/>
        <v>41158</v>
      </c>
      <c r="V31" s="1">
        <f t="shared" ca="1" si="1"/>
        <v>41159</v>
      </c>
      <c r="W31" s="1">
        <f t="shared" ca="1" si="1"/>
        <v>41160</v>
      </c>
      <c r="X31" s="1">
        <f t="shared" ca="1" si="1"/>
        <v>41161</v>
      </c>
      <c r="Y31" s="1">
        <f t="shared" ca="1" si="1"/>
        <v>41162</v>
      </c>
      <c r="Z31" s="1">
        <f t="shared" ca="1" si="1"/>
        <v>41163</v>
      </c>
      <c r="AA31" s="1">
        <f t="shared" ca="1" si="1"/>
        <v>41164</v>
      </c>
      <c r="AB31" s="1">
        <f t="shared" ca="1" si="1"/>
        <v>41165</v>
      </c>
      <c r="AC31" s="1">
        <f t="shared" ca="1" si="1"/>
        <v>41166</v>
      </c>
      <c r="AD31" s="1">
        <f t="shared" ca="1" si="1"/>
        <v>41167</v>
      </c>
      <c r="AE31" s="1">
        <f t="shared" ca="1" si="1"/>
        <v>41168</v>
      </c>
      <c r="AF31" s="1">
        <f t="shared" ca="1" si="1"/>
        <v>41169</v>
      </c>
      <c r="AG31" s="1">
        <f t="shared" ca="1" si="1"/>
        <v>41170</v>
      </c>
      <c r="AH31" s="1">
        <f t="shared" ca="1" si="1"/>
        <v>41171</v>
      </c>
      <c r="AI31" s="1">
        <f t="shared" ca="1" si="1"/>
        <v>41172</v>
      </c>
    </row>
    <row r="32" spans="1:35" x14ac:dyDescent="0.2">
      <c r="A32">
        <v>11.3</v>
      </c>
      <c r="B32">
        <v>1</v>
      </c>
      <c r="C32" t="e">
        <f t="shared" ref="C32:C40" ca="1" si="2">F15</f>
        <v>#N/A</v>
      </c>
      <c r="D32" t="e">
        <f ca="1">INDEX(Activités[ACTIVITÉ],MATCH($C32,Activités[ID],0))</f>
        <v>#N/A</v>
      </c>
      <c r="E32" t="e">
        <f ca="1">CalcGrille</f>
        <v>#N/A</v>
      </c>
      <c r="F32" t="e">
        <f ca="1">CalcGrille</f>
        <v>#N/A</v>
      </c>
      <c r="G32" t="e">
        <f ca="1">CalcGrille</f>
        <v>#N/A</v>
      </c>
      <c r="H32" t="e">
        <f ca="1">CalcGrille</f>
        <v>#N/A</v>
      </c>
      <c r="I32" t="e">
        <f ca="1">CalcGrille</f>
        <v>#N/A</v>
      </c>
      <c r="J32" t="e">
        <f ca="1">CalcGrille</f>
        <v>#N/A</v>
      </c>
      <c r="K32" t="e">
        <f ca="1">CalcGrille</f>
        <v>#N/A</v>
      </c>
      <c r="L32" t="e">
        <f ca="1">CalcGrille</f>
        <v>#N/A</v>
      </c>
      <c r="M32" t="e">
        <f ca="1">CalcGrille</f>
        <v>#N/A</v>
      </c>
      <c r="N32" t="e">
        <f ca="1">CalcGrille</f>
        <v>#N/A</v>
      </c>
      <c r="O32" t="e">
        <f ca="1">CalcGrille</f>
        <v>#N/A</v>
      </c>
      <c r="P32" t="e">
        <f ca="1">CalcGrille</f>
        <v>#N/A</v>
      </c>
      <c r="Q32" t="e">
        <f ca="1">CalcGrille</f>
        <v>#N/A</v>
      </c>
      <c r="R32" t="e">
        <f ca="1">CalcGrille</f>
        <v>#N/A</v>
      </c>
      <c r="S32" t="e">
        <f ca="1">CalcGrille</f>
        <v>#N/A</v>
      </c>
      <c r="T32" t="e">
        <f ca="1">CalcGrille</f>
        <v>#N/A</v>
      </c>
      <c r="U32" t="e">
        <f ca="1">CalcGrille</f>
        <v>#N/A</v>
      </c>
      <c r="V32" t="e">
        <f ca="1">CalcGrille</f>
        <v>#N/A</v>
      </c>
      <c r="W32" t="e">
        <f ca="1">CalcGrille</f>
        <v>#N/A</v>
      </c>
      <c r="X32" t="e">
        <f ca="1">CalcGrille</f>
        <v>#N/A</v>
      </c>
      <c r="Y32" t="e">
        <f ca="1">CalcGrille</f>
        <v>#N/A</v>
      </c>
      <c r="Z32" t="e">
        <f ca="1">CalcGrille</f>
        <v>#N/A</v>
      </c>
      <c r="AA32" t="e">
        <f ca="1">CalcGrille</f>
        <v>#N/A</v>
      </c>
      <c r="AB32" t="e">
        <f ca="1">CalcGrille</f>
        <v>#N/A</v>
      </c>
      <c r="AC32" t="e">
        <f ca="1">CalcGrille</f>
        <v>#N/A</v>
      </c>
      <c r="AD32" t="e">
        <f ca="1">CalcGrille</f>
        <v>#N/A</v>
      </c>
      <c r="AE32" t="e">
        <f ca="1">CalcGrille</f>
        <v>#N/A</v>
      </c>
      <c r="AF32" t="e">
        <f ca="1">CalcGrille</f>
        <v>#N/A</v>
      </c>
      <c r="AG32" t="e">
        <f ca="1">CalcGrille</f>
        <v>#N/A</v>
      </c>
      <c r="AH32" t="e">
        <f ca="1">CalcGrille</f>
        <v>#N/A</v>
      </c>
      <c r="AI32" t="e">
        <f ca="1">CalcGrille</f>
        <v>#N/A</v>
      </c>
    </row>
    <row r="33" spans="1:35" x14ac:dyDescent="0.2">
      <c r="A33">
        <f>A32-1</f>
        <v>10.3</v>
      </c>
      <c r="B33">
        <v>2</v>
      </c>
      <c r="C33" t="e">
        <f t="shared" ca="1" si="2"/>
        <v>#N/A</v>
      </c>
      <c r="D33" t="e">
        <f ca="1">INDEX(Activités[ACTIVITÉ],MATCH($C33,Activités[ID],0))</f>
        <v>#N/A</v>
      </c>
      <c r="E33" t="e">
        <f ca="1">CalcGrille</f>
        <v>#N/A</v>
      </c>
      <c r="F33" t="e">
        <f ca="1">CalcGrille</f>
        <v>#N/A</v>
      </c>
      <c r="G33" t="e">
        <f ca="1">CalcGrille</f>
        <v>#N/A</v>
      </c>
      <c r="H33" t="e">
        <f ca="1">CalcGrille</f>
        <v>#N/A</v>
      </c>
      <c r="I33" t="e">
        <f ca="1">CalcGrille</f>
        <v>#N/A</v>
      </c>
      <c r="J33" t="e">
        <f ca="1">CalcGrille</f>
        <v>#N/A</v>
      </c>
      <c r="K33" t="e">
        <f ca="1">CalcGrille</f>
        <v>#N/A</v>
      </c>
      <c r="L33" t="e">
        <f ca="1">CalcGrille</f>
        <v>#N/A</v>
      </c>
      <c r="M33" t="e">
        <f ca="1">CalcGrille</f>
        <v>#N/A</v>
      </c>
      <c r="N33" t="e">
        <f ca="1">CalcGrille</f>
        <v>#N/A</v>
      </c>
      <c r="O33" t="e">
        <f ca="1">CalcGrille</f>
        <v>#N/A</v>
      </c>
      <c r="P33" t="e">
        <f ca="1">CalcGrille</f>
        <v>#N/A</v>
      </c>
      <c r="Q33" t="e">
        <f ca="1">CalcGrille</f>
        <v>#N/A</v>
      </c>
      <c r="R33" t="e">
        <f ca="1">CalcGrille</f>
        <v>#N/A</v>
      </c>
      <c r="S33" t="e">
        <f ca="1">CalcGrille</f>
        <v>#N/A</v>
      </c>
      <c r="T33" t="e">
        <f ca="1">CalcGrille</f>
        <v>#N/A</v>
      </c>
      <c r="U33" t="e">
        <f ca="1">CalcGrille</f>
        <v>#N/A</v>
      </c>
      <c r="V33" t="e">
        <f ca="1">CalcGrille</f>
        <v>#N/A</v>
      </c>
      <c r="W33" t="e">
        <f ca="1">CalcGrille</f>
        <v>#N/A</v>
      </c>
      <c r="X33" t="e">
        <f ca="1">CalcGrille</f>
        <v>#N/A</v>
      </c>
      <c r="Y33" t="e">
        <f ca="1">CalcGrille</f>
        <v>#N/A</v>
      </c>
      <c r="Z33" t="e">
        <f ca="1">CalcGrille</f>
        <v>#N/A</v>
      </c>
      <c r="AA33" t="e">
        <f ca="1">CalcGrille</f>
        <v>#N/A</v>
      </c>
      <c r="AB33" t="e">
        <f ca="1">CalcGrille</f>
        <v>#N/A</v>
      </c>
      <c r="AC33" t="e">
        <f ca="1">CalcGrille</f>
        <v>#N/A</v>
      </c>
      <c r="AD33" t="e">
        <f ca="1">CalcGrille</f>
        <v>#N/A</v>
      </c>
      <c r="AE33" t="e">
        <f ca="1">CalcGrille</f>
        <v>#N/A</v>
      </c>
      <c r="AF33" t="e">
        <f ca="1">CalcGrille</f>
        <v>#N/A</v>
      </c>
      <c r="AG33" t="e">
        <f ca="1">CalcGrille</f>
        <v>#N/A</v>
      </c>
      <c r="AH33" t="e">
        <f ca="1">CalcGrille</f>
        <v>#N/A</v>
      </c>
      <c r="AI33" t="e">
        <f ca="1">CalcGrille</f>
        <v>#N/A</v>
      </c>
    </row>
    <row r="34" spans="1:35" x14ac:dyDescent="0.2">
      <c r="A34">
        <f t="shared" ref="A34:A40" si="3">A33-1</f>
        <v>9.3000000000000007</v>
      </c>
      <c r="B34">
        <v>3</v>
      </c>
      <c r="C34" t="e">
        <f t="shared" ca="1" si="2"/>
        <v>#N/A</v>
      </c>
      <c r="D34" t="e">
        <f ca="1">INDEX(Activités[ACTIVITÉ],MATCH($C34,Activités[ID],0))</f>
        <v>#N/A</v>
      </c>
      <c r="E34" t="e">
        <f ca="1">CalcGrille</f>
        <v>#N/A</v>
      </c>
      <c r="F34" t="e">
        <f ca="1">CalcGrille</f>
        <v>#N/A</v>
      </c>
      <c r="G34" t="e">
        <f ca="1">CalcGrille</f>
        <v>#N/A</v>
      </c>
      <c r="H34" t="e">
        <f ca="1">CalcGrille</f>
        <v>#N/A</v>
      </c>
      <c r="I34" t="e">
        <f ca="1">CalcGrille</f>
        <v>#N/A</v>
      </c>
      <c r="J34" t="e">
        <f ca="1">CalcGrille</f>
        <v>#N/A</v>
      </c>
      <c r="K34" t="e">
        <f ca="1">CalcGrille</f>
        <v>#N/A</v>
      </c>
      <c r="L34" t="e">
        <f ca="1">CalcGrille</f>
        <v>#N/A</v>
      </c>
      <c r="M34" t="e">
        <f ca="1">CalcGrille</f>
        <v>#N/A</v>
      </c>
      <c r="N34" t="e">
        <f ca="1">CalcGrille</f>
        <v>#N/A</v>
      </c>
      <c r="O34" t="e">
        <f ca="1">CalcGrille</f>
        <v>#N/A</v>
      </c>
      <c r="P34" t="e">
        <f ca="1">CalcGrille</f>
        <v>#N/A</v>
      </c>
      <c r="Q34" t="e">
        <f ca="1">CalcGrille</f>
        <v>#N/A</v>
      </c>
      <c r="R34" t="e">
        <f ca="1">CalcGrille</f>
        <v>#N/A</v>
      </c>
      <c r="S34" t="e">
        <f ca="1">CalcGrille</f>
        <v>#N/A</v>
      </c>
      <c r="T34" t="e">
        <f ca="1">CalcGrille</f>
        <v>#N/A</v>
      </c>
      <c r="U34" t="e">
        <f ca="1">CalcGrille</f>
        <v>#N/A</v>
      </c>
      <c r="V34" t="e">
        <f ca="1">CalcGrille</f>
        <v>#N/A</v>
      </c>
      <c r="W34" t="e">
        <f ca="1">CalcGrille</f>
        <v>#N/A</v>
      </c>
      <c r="X34" t="e">
        <f ca="1">CalcGrille</f>
        <v>#N/A</v>
      </c>
      <c r="Y34" t="e">
        <f ca="1">CalcGrille</f>
        <v>#N/A</v>
      </c>
      <c r="Z34" t="e">
        <f ca="1">CalcGrille</f>
        <v>#N/A</v>
      </c>
      <c r="AA34" t="e">
        <f ca="1">CalcGrille</f>
        <v>#N/A</v>
      </c>
      <c r="AB34" t="e">
        <f ca="1">CalcGrille</f>
        <v>#N/A</v>
      </c>
      <c r="AC34" t="e">
        <f ca="1">CalcGrille</f>
        <v>#N/A</v>
      </c>
      <c r="AD34" t="e">
        <f ca="1">CalcGrille</f>
        <v>#N/A</v>
      </c>
      <c r="AE34" t="e">
        <f ca="1">CalcGrille</f>
        <v>#N/A</v>
      </c>
      <c r="AF34" t="e">
        <f ca="1">CalcGrille</f>
        <v>#N/A</v>
      </c>
      <c r="AG34" t="e">
        <f ca="1">CalcGrille</f>
        <v>#N/A</v>
      </c>
      <c r="AH34" t="e">
        <f ca="1">CalcGrille</f>
        <v>#N/A</v>
      </c>
      <c r="AI34" t="e">
        <f ca="1">CalcGrille</f>
        <v>#N/A</v>
      </c>
    </row>
    <row r="35" spans="1:35" x14ac:dyDescent="0.2">
      <c r="A35">
        <f t="shared" si="3"/>
        <v>8.3000000000000007</v>
      </c>
      <c r="B35">
        <v>4</v>
      </c>
      <c r="C35" t="e">
        <f t="shared" ca="1" si="2"/>
        <v>#N/A</v>
      </c>
      <c r="D35" t="e">
        <f ca="1">INDEX(Activités[ACTIVITÉ],MATCH($C35,Activités[ID],0))</f>
        <v>#N/A</v>
      </c>
      <c r="E35" t="e">
        <f ca="1">CalcGrille</f>
        <v>#N/A</v>
      </c>
      <c r="F35" t="e">
        <f ca="1">CalcGrille</f>
        <v>#N/A</v>
      </c>
      <c r="G35" t="e">
        <f ca="1">CalcGrille</f>
        <v>#N/A</v>
      </c>
      <c r="H35" t="e">
        <f ca="1">CalcGrille</f>
        <v>#N/A</v>
      </c>
      <c r="I35" t="e">
        <f ca="1">CalcGrille</f>
        <v>#N/A</v>
      </c>
      <c r="J35" t="e">
        <f ca="1">CalcGrille</f>
        <v>#N/A</v>
      </c>
      <c r="K35" t="e">
        <f ca="1">CalcGrille</f>
        <v>#N/A</v>
      </c>
      <c r="L35" t="e">
        <f ca="1">CalcGrille</f>
        <v>#N/A</v>
      </c>
      <c r="M35" t="e">
        <f ca="1">CalcGrille</f>
        <v>#N/A</v>
      </c>
      <c r="N35" t="e">
        <f ca="1">CalcGrille</f>
        <v>#N/A</v>
      </c>
      <c r="O35" t="e">
        <f ca="1">CalcGrille</f>
        <v>#N/A</v>
      </c>
      <c r="P35" t="e">
        <f ca="1">CalcGrille</f>
        <v>#N/A</v>
      </c>
      <c r="Q35" t="e">
        <f ca="1">CalcGrille</f>
        <v>#N/A</v>
      </c>
      <c r="R35" t="e">
        <f ca="1">CalcGrille</f>
        <v>#N/A</v>
      </c>
      <c r="S35" t="e">
        <f ca="1">CalcGrille</f>
        <v>#N/A</v>
      </c>
      <c r="T35" t="e">
        <f ca="1">CalcGrille</f>
        <v>#N/A</v>
      </c>
      <c r="U35" t="e">
        <f ca="1">CalcGrille</f>
        <v>#N/A</v>
      </c>
      <c r="V35" t="e">
        <f ca="1">CalcGrille</f>
        <v>#N/A</v>
      </c>
      <c r="W35" t="e">
        <f ca="1">CalcGrille</f>
        <v>#N/A</v>
      </c>
      <c r="X35" t="e">
        <f ca="1">CalcGrille</f>
        <v>#N/A</v>
      </c>
      <c r="Y35" t="e">
        <f ca="1">CalcGrille</f>
        <v>#N/A</v>
      </c>
      <c r="Z35" t="e">
        <f ca="1">CalcGrille</f>
        <v>#N/A</v>
      </c>
      <c r="AA35" t="e">
        <f ca="1">CalcGrille</f>
        <v>#N/A</v>
      </c>
      <c r="AB35" t="e">
        <f ca="1">CalcGrille</f>
        <v>#N/A</v>
      </c>
      <c r="AC35" t="e">
        <f ca="1">CalcGrille</f>
        <v>#N/A</v>
      </c>
      <c r="AD35" t="e">
        <f ca="1">CalcGrille</f>
        <v>#N/A</v>
      </c>
      <c r="AE35" t="e">
        <f ca="1">CalcGrille</f>
        <v>#N/A</v>
      </c>
      <c r="AF35" t="e">
        <f ca="1">CalcGrille</f>
        <v>#N/A</v>
      </c>
      <c r="AG35" t="e">
        <f ca="1">CalcGrille</f>
        <v>#N/A</v>
      </c>
      <c r="AH35" t="e">
        <f ca="1">CalcGrille</f>
        <v>#N/A</v>
      </c>
      <c r="AI35" t="e">
        <f ca="1">CalcGrille</f>
        <v>#N/A</v>
      </c>
    </row>
    <row r="36" spans="1:35" x14ac:dyDescent="0.2">
      <c r="A36">
        <f t="shared" si="3"/>
        <v>7.3000000000000007</v>
      </c>
      <c r="B36">
        <v>5</v>
      </c>
      <c r="C36">
        <f t="shared" ca="1" si="2"/>
        <v>1</v>
      </c>
      <c r="D36" t="str">
        <f ca="1">INDEX(Activités[ACTIVITÉ],MATCH($C36,Activités[ID],0))</f>
        <v>Début du projet</v>
      </c>
      <c r="E36" t="e">
        <f ca="1">CalcGrille</f>
        <v>#N/A</v>
      </c>
      <c r="F36" t="e">
        <f ca="1">CalcGrille</f>
        <v>#N/A</v>
      </c>
      <c r="G36" t="e">
        <f ca="1">CalcGrille</f>
        <v>#N/A</v>
      </c>
      <c r="H36">
        <f ca="1">CalcGrille</f>
        <v>7.3000000000000007</v>
      </c>
      <c r="I36" t="e">
        <f ca="1">CalcGrille</f>
        <v>#N/A</v>
      </c>
      <c r="J36" t="e">
        <f ca="1">CalcGrille</f>
        <v>#N/A</v>
      </c>
      <c r="K36" t="e">
        <f ca="1">CalcGrille</f>
        <v>#N/A</v>
      </c>
      <c r="L36" t="e">
        <f ca="1">CalcGrille</f>
        <v>#N/A</v>
      </c>
      <c r="M36" t="e">
        <f ca="1">CalcGrille</f>
        <v>#N/A</v>
      </c>
      <c r="N36" t="e">
        <f ca="1">CalcGrille</f>
        <v>#N/A</v>
      </c>
      <c r="O36" t="e">
        <f ca="1">CalcGrille</f>
        <v>#N/A</v>
      </c>
      <c r="P36" t="e">
        <f ca="1">CalcGrille</f>
        <v>#N/A</v>
      </c>
      <c r="Q36" t="e">
        <f ca="1">CalcGrille</f>
        <v>#N/A</v>
      </c>
      <c r="R36" t="e">
        <f ca="1">CalcGrille</f>
        <v>#N/A</v>
      </c>
      <c r="S36" t="e">
        <f ca="1">CalcGrille</f>
        <v>#N/A</v>
      </c>
      <c r="T36" t="e">
        <f ca="1">CalcGrille</f>
        <v>#N/A</v>
      </c>
      <c r="U36" t="e">
        <f ca="1">CalcGrille</f>
        <v>#N/A</v>
      </c>
      <c r="V36" t="e">
        <f ca="1">CalcGrille</f>
        <v>#N/A</v>
      </c>
      <c r="W36" t="e">
        <f ca="1">CalcGrille</f>
        <v>#N/A</v>
      </c>
      <c r="X36" t="e">
        <f ca="1">CalcGrille</f>
        <v>#N/A</v>
      </c>
      <c r="Y36" t="e">
        <f ca="1">CalcGrille</f>
        <v>#N/A</v>
      </c>
      <c r="Z36" t="e">
        <f ca="1">CalcGrille</f>
        <v>#N/A</v>
      </c>
      <c r="AA36" t="e">
        <f ca="1">CalcGrille</f>
        <v>#N/A</v>
      </c>
      <c r="AB36" t="e">
        <f ca="1">CalcGrille</f>
        <v>#N/A</v>
      </c>
      <c r="AC36" t="e">
        <f ca="1">CalcGrille</f>
        <v>#N/A</v>
      </c>
      <c r="AD36" t="e">
        <f ca="1">CalcGrille</f>
        <v>#N/A</v>
      </c>
      <c r="AE36" t="e">
        <f ca="1">CalcGrille</f>
        <v>#N/A</v>
      </c>
      <c r="AF36" t="e">
        <f ca="1">CalcGrille</f>
        <v>#N/A</v>
      </c>
      <c r="AG36" t="e">
        <f ca="1">CalcGrille</f>
        <v>#N/A</v>
      </c>
      <c r="AH36" t="e">
        <f ca="1">CalcGrille</f>
        <v>#N/A</v>
      </c>
      <c r="AI36" t="e">
        <f ca="1">CalcGrille</f>
        <v>#N/A</v>
      </c>
    </row>
    <row r="37" spans="1:35" x14ac:dyDescent="0.2">
      <c r="A37">
        <f t="shared" si="3"/>
        <v>6.3000000000000007</v>
      </c>
      <c r="B37">
        <v>6</v>
      </c>
      <c r="C37">
        <f t="shared" ca="1" si="2"/>
        <v>2</v>
      </c>
      <c r="D37" t="str">
        <f ca="1">INDEX(Activités[ACTIVITÉ],MATCH($C37,Activités[ID],0))</f>
        <v>Jalon 1</v>
      </c>
      <c r="E37" t="e">
        <f ca="1">CalcGrille</f>
        <v>#N/A</v>
      </c>
      <c r="F37" t="e">
        <f ca="1">CalcGrille</f>
        <v>#N/A</v>
      </c>
      <c r="G37" t="e">
        <f ca="1">CalcGrille</f>
        <v>#N/A</v>
      </c>
      <c r="H37" t="e">
        <f ca="1">CalcGrille</f>
        <v>#N/A</v>
      </c>
      <c r="I37" t="e">
        <f ca="1">CalcGrille</f>
        <v>#N/A</v>
      </c>
      <c r="J37" t="e">
        <f ca="1">CalcGrille</f>
        <v>#N/A</v>
      </c>
      <c r="K37" t="e">
        <f ca="1">CalcGrille</f>
        <v>#N/A</v>
      </c>
      <c r="L37" t="e">
        <f ca="1">CalcGrille</f>
        <v>#N/A</v>
      </c>
      <c r="M37" t="e">
        <f ca="1">CalcGrille</f>
        <v>#N/A</v>
      </c>
      <c r="N37" t="e">
        <f ca="1">CalcGrille</f>
        <v>#N/A</v>
      </c>
      <c r="O37" t="e">
        <f ca="1">CalcGrille</f>
        <v>#N/A</v>
      </c>
      <c r="P37" t="e">
        <f ca="1">CalcGrille</f>
        <v>#N/A</v>
      </c>
      <c r="Q37" t="e">
        <f ca="1">CalcGrille</f>
        <v>#N/A</v>
      </c>
      <c r="R37">
        <f ca="1">CalcGrille</f>
        <v>6.3000000000000007</v>
      </c>
      <c r="S37">
        <f ca="1">CalcGrille</f>
        <v>6.3000000000000007</v>
      </c>
      <c r="T37">
        <f ca="1">CalcGrille</f>
        <v>6.3000000000000007</v>
      </c>
      <c r="U37">
        <f ca="1">CalcGrille</f>
        <v>6.3000000000000007</v>
      </c>
      <c r="V37" t="e">
        <f ca="1">CalcGrille</f>
        <v>#N/A</v>
      </c>
      <c r="W37" t="e">
        <f ca="1">CalcGrille</f>
        <v>#N/A</v>
      </c>
      <c r="X37" t="e">
        <f ca="1">CalcGrille</f>
        <v>#N/A</v>
      </c>
      <c r="Y37" t="e">
        <f ca="1">CalcGrille</f>
        <v>#N/A</v>
      </c>
      <c r="Z37" t="e">
        <f ca="1">CalcGrille</f>
        <v>#N/A</v>
      </c>
      <c r="AA37" t="e">
        <f ca="1">CalcGrille</f>
        <v>#N/A</v>
      </c>
      <c r="AB37" t="e">
        <f ca="1">CalcGrille</f>
        <v>#N/A</v>
      </c>
      <c r="AC37" t="e">
        <f ca="1">CalcGrille</f>
        <v>#N/A</v>
      </c>
      <c r="AD37" t="e">
        <f ca="1">CalcGrille</f>
        <v>#N/A</v>
      </c>
      <c r="AE37" t="e">
        <f ca="1">CalcGrille</f>
        <v>#N/A</v>
      </c>
      <c r="AF37" t="e">
        <f ca="1">CalcGrille</f>
        <v>#N/A</v>
      </c>
      <c r="AG37" t="e">
        <f ca="1">CalcGrille</f>
        <v>#N/A</v>
      </c>
      <c r="AH37" t="e">
        <f ca="1">CalcGrille</f>
        <v>#N/A</v>
      </c>
      <c r="AI37" t="e">
        <f ca="1">CalcGrille</f>
        <v>#N/A</v>
      </c>
    </row>
    <row r="38" spans="1:35" x14ac:dyDescent="0.2">
      <c r="A38">
        <f t="shared" si="3"/>
        <v>5.3000000000000007</v>
      </c>
      <c r="B38">
        <v>7</v>
      </c>
      <c r="C38">
        <f t="shared" ca="1" si="2"/>
        <v>3</v>
      </c>
      <c r="D38" t="str">
        <f ca="1">INDEX(Activités[ACTIVITÉ],MATCH($C38,Activités[ID],0))</f>
        <v>Jalon 2</v>
      </c>
      <c r="E38" t="e">
        <f ca="1">CalcGrille</f>
        <v>#N/A</v>
      </c>
      <c r="F38" t="e">
        <f ca="1">CalcGrille</f>
        <v>#N/A</v>
      </c>
      <c r="G38" t="e">
        <f ca="1">CalcGrille</f>
        <v>#N/A</v>
      </c>
      <c r="H38" t="e">
        <f ca="1">CalcGrille</f>
        <v>#N/A</v>
      </c>
      <c r="I38" t="e">
        <f ca="1">CalcGrille</f>
        <v>#N/A</v>
      </c>
      <c r="J38" t="e">
        <f ca="1">CalcGrille</f>
        <v>#N/A</v>
      </c>
      <c r="K38" t="e">
        <f ca="1">CalcGrille</f>
        <v>#N/A</v>
      </c>
      <c r="L38" t="e">
        <f ca="1">CalcGrille</f>
        <v>#N/A</v>
      </c>
      <c r="M38" t="e">
        <f ca="1">CalcGrille</f>
        <v>#N/A</v>
      </c>
      <c r="N38" t="e">
        <f ca="1">CalcGrille</f>
        <v>#N/A</v>
      </c>
      <c r="O38" t="e">
        <f ca="1">CalcGrille</f>
        <v>#N/A</v>
      </c>
      <c r="P38" t="e">
        <f ca="1">CalcGrille</f>
        <v>#N/A</v>
      </c>
      <c r="Q38" t="e">
        <f ca="1">CalcGrille</f>
        <v>#N/A</v>
      </c>
      <c r="R38" t="e">
        <f ca="1">CalcGrille</f>
        <v>#N/A</v>
      </c>
      <c r="S38">
        <f ca="1">CalcGrille</f>
        <v>5.3000000000000007</v>
      </c>
      <c r="T38">
        <f ca="1">CalcGrille</f>
        <v>5.3000000000000007</v>
      </c>
      <c r="U38">
        <f ca="1">CalcGrille</f>
        <v>5.3000000000000007</v>
      </c>
      <c r="V38">
        <f ca="1">CalcGrille</f>
        <v>5.3000000000000007</v>
      </c>
      <c r="W38" t="e">
        <f ca="1">CalcGrille</f>
        <v>#N/A</v>
      </c>
      <c r="X38" t="e">
        <f ca="1">CalcGrille</f>
        <v>#N/A</v>
      </c>
      <c r="Y38" t="e">
        <f ca="1">CalcGrille</f>
        <v>#N/A</v>
      </c>
      <c r="Z38" t="e">
        <f ca="1">CalcGrille</f>
        <v>#N/A</v>
      </c>
      <c r="AA38" t="e">
        <f ca="1">CalcGrille</f>
        <v>#N/A</v>
      </c>
      <c r="AB38" t="e">
        <f ca="1">CalcGrille</f>
        <v>#N/A</v>
      </c>
      <c r="AC38" t="e">
        <f ca="1">CalcGrille</f>
        <v>#N/A</v>
      </c>
      <c r="AD38" t="e">
        <f ca="1">CalcGrille</f>
        <v>#N/A</v>
      </c>
      <c r="AE38" t="e">
        <f ca="1">CalcGrille</f>
        <v>#N/A</v>
      </c>
      <c r="AF38" t="e">
        <f ca="1">CalcGrille</f>
        <v>#N/A</v>
      </c>
      <c r="AG38" t="e">
        <f ca="1">CalcGrille</f>
        <v>#N/A</v>
      </c>
      <c r="AH38" t="e">
        <f ca="1">CalcGrille</f>
        <v>#N/A</v>
      </c>
      <c r="AI38" t="e">
        <f ca="1">CalcGrille</f>
        <v>#N/A</v>
      </c>
    </row>
    <row r="39" spans="1:35" x14ac:dyDescent="0.2">
      <c r="A39">
        <f t="shared" si="3"/>
        <v>4.3000000000000007</v>
      </c>
      <c r="B39">
        <v>8</v>
      </c>
      <c r="C39">
        <f t="shared" ca="1" si="2"/>
        <v>4</v>
      </c>
      <c r="D39" t="str">
        <f ca="1">INDEX(Activités[ACTIVITÉ],MATCH($C39,Activités[ID],0))</f>
        <v>Jalon 3</v>
      </c>
      <c r="E39" t="e">
        <f ca="1">CalcGrille</f>
        <v>#N/A</v>
      </c>
      <c r="F39" t="e">
        <f ca="1">CalcGrille</f>
        <v>#N/A</v>
      </c>
      <c r="G39" t="e">
        <f ca="1">CalcGrille</f>
        <v>#N/A</v>
      </c>
      <c r="H39" t="e">
        <f ca="1">CalcGrille</f>
        <v>#N/A</v>
      </c>
      <c r="I39" t="e">
        <f ca="1">CalcGrille</f>
        <v>#N/A</v>
      </c>
      <c r="J39" t="e">
        <f ca="1">CalcGrille</f>
        <v>#N/A</v>
      </c>
      <c r="K39" t="e">
        <f ca="1">CalcGrille</f>
        <v>#N/A</v>
      </c>
      <c r="L39" t="e">
        <f ca="1">CalcGrille</f>
        <v>#N/A</v>
      </c>
      <c r="M39" t="e">
        <f ca="1">CalcGrille</f>
        <v>#N/A</v>
      </c>
      <c r="N39" t="e">
        <f ca="1">CalcGrille</f>
        <v>#N/A</v>
      </c>
      <c r="O39" t="e">
        <f ca="1">CalcGrille</f>
        <v>#N/A</v>
      </c>
      <c r="P39" t="e">
        <f ca="1">CalcGrille</f>
        <v>#N/A</v>
      </c>
      <c r="Q39" t="e">
        <f ca="1">CalcGrille</f>
        <v>#N/A</v>
      </c>
      <c r="R39" t="e">
        <f ca="1">CalcGrille</f>
        <v>#N/A</v>
      </c>
      <c r="S39" t="e">
        <f ca="1">CalcGrille</f>
        <v>#N/A</v>
      </c>
      <c r="T39" t="e">
        <f ca="1">CalcGrille</f>
        <v>#N/A</v>
      </c>
      <c r="U39" t="e">
        <f ca="1">CalcGrille</f>
        <v>#N/A</v>
      </c>
      <c r="V39" t="e">
        <f ca="1">CalcGrille</f>
        <v>#N/A</v>
      </c>
      <c r="W39" t="e">
        <f ca="1">CalcGrille</f>
        <v>#N/A</v>
      </c>
      <c r="X39">
        <f ca="1">CalcGrille</f>
        <v>4.3000000000000007</v>
      </c>
      <c r="Y39" t="e">
        <f ca="1">CalcGrille</f>
        <v>#N/A</v>
      </c>
      <c r="Z39" t="e">
        <f ca="1">CalcGrille</f>
        <v>#N/A</v>
      </c>
      <c r="AA39" t="e">
        <f ca="1">CalcGrille</f>
        <v>#N/A</v>
      </c>
      <c r="AB39" t="e">
        <f ca="1">CalcGrille</f>
        <v>#N/A</v>
      </c>
      <c r="AC39" t="e">
        <f ca="1">CalcGrille</f>
        <v>#N/A</v>
      </c>
      <c r="AD39" t="e">
        <f ca="1">CalcGrille</f>
        <v>#N/A</v>
      </c>
      <c r="AE39" t="e">
        <f ca="1">CalcGrille</f>
        <v>#N/A</v>
      </c>
      <c r="AF39" t="e">
        <f ca="1">CalcGrille</f>
        <v>#N/A</v>
      </c>
      <c r="AG39" t="e">
        <f ca="1">CalcGrille</f>
        <v>#N/A</v>
      </c>
      <c r="AH39" t="e">
        <f ca="1">CalcGrille</f>
        <v>#N/A</v>
      </c>
      <c r="AI39" t="e">
        <f ca="1">CalcGrille</f>
        <v>#N/A</v>
      </c>
    </row>
    <row r="40" spans="1:35" x14ac:dyDescent="0.2">
      <c r="A40">
        <f t="shared" si="3"/>
        <v>3.3000000000000007</v>
      </c>
      <c r="B40">
        <v>9</v>
      </c>
      <c r="C40">
        <f t="shared" ca="1" si="2"/>
        <v>5</v>
      </c>
      <c r="D40" t="str">
        <f ca="1">INDEX(Activités[ACTIVITÉ],MATCH($C40,Activités[ID],0))</f>
        <v>Jalon 4</v>
      </c>
      <c r="E40" t="e">
        <f ca="1">CalcGrille</f>
        <v>#N/A</v>
      </c>
      <c r="F40" t="e">
        <f ca="1">CalcGrille</f>
        <v>#N/A</v>
      </c>
      <c r="G40" t="e">
        <f ca="1">CalcGrille</f>
        <v>#N/A</v>
      </c>
      <c r="H40" t="e">
        <f ca="1">CalcGrille</f>
        <v>#N/A</v>
      </c>
      <c r="I40" t="e">
        <f ca="1">CalcGrille</f>
        <v>#N/A</v>
      </c>
      <c r="J40" t="e">
        <f ca="1">CalcGrille</f>
        <v>#N/A</v>
      </c>
      <c r="K40" t="e">
        <f ca="1">CalcGrille</f>
        <v>#N/A</v>
      </c>
      <c r="L40" t="e">
        <f ca="1">CalcGrille</f>
        <v>#N/A</v>
      </c>
      <c r="M40" t="e">
        <f ca="1">CalcGrille</f>
        <v>#N/A</v>
      </c>
      <c r="N40" t="e">
        <f ca="1">CalcGrille</f>
        <v>#N/A</v>
      </c>
      <c r="O40" t="e">
        <f ca="1">CalcGrille</f>
        <v>#N/A</v>
      </c>
      <c r="P40" t="e">
        <f ca="1">CalcGrille</f>
        <v>#N/A</v>
      </c>
      <c r="Q40" t="e">
        <f ca="1">CalcGrille</f>
        <v>#N/A</v>
      </c>
      <c r="R40" t="e">
        <f ca="1">CalcGrille</f>
        <v>#N/A</v>
      </c>
      <c r="S40" t="e">
        <f ca="1">CalcGrille</f>
        <v>#N/A</v>
      </c>
      <c r="T40" t="e">
        <f ca="1">CalcGrille</f>
        <v>#N/A</v>
      </c>
      <c r="U40" t="e">
        <f ca="1">CalcGrille</f>
        <v>#N/A</v>
      </c>
      <c r="V40" t="e">
        <f ca="1">CalcGrille</f>
        <v>#N/A</v>
      </c>
      <c r="W40" t="e">
        <f ca="1">CalcGrille</f>
        <v>#N/A</v>
      </c>
      <c r="X40" t="e">
        <f ca="1">CalcGrille</f>
        <v>#N/A</v>
      </c>
      <c r="Y40" t="e">
        <f ca="1">CalcGrille</f>
        <v>#N/A</v>
      </c>
      <c r="Z40" t="e">
        <f ca="1">CalcGrille</f>
        <v>#N/A</v>
      </c>
      <c r="AA40" t="e">
        <f ca="1">CalcGrille</f>
        <v>#N/A</v>
      </c>
      <c r="AB40" t="e">
        <f ca="1">CalcGrille</f>
        <v>#N/A</v>
      </c>
      <c r="AC40" t="e">
        <f ca="1">CalcGrille</f>
        <v>#N/A</v>
      </c>
      <c r="AD40" t="e">
        <f ca="1">CalcGrille</f>
        <v>#N/A</v>
      </c>
      <c r="AE40" t="e">
        <f ca="1">CalcGrille</f>
        <v>#N/A</v>
      </c>
      <c r="AF40" t="e">
        <f ca="1">CalcGrille</f>
        <v>#N/A</v>
      </c>
      <c r="AG40" t="e">
        <f ca="1">CalcGrille</f>
        <v>#N/A</v>
      </c>
      <c r="AH40">
        <f ca="1">CalcGrille</f>
        <v>3.3000000000000007</v>
      </c>
      <c r="AI40">
        <f ca="1">CalcGrille</f>
        <v>3.3000000000000007</v>
      </c>
    </row>
    <row r="43" spans="1:35" x14ac:dyDescent="0.2">
      <c r="E43" s="1">
        <f ca="1">E31</f>
        <v>41142</v>
      </c>
      <c r="F43" s="1">
        <f t="shared" ref="F43:AH43" ca="1" si="4">F31</f>
        <v>41143</v>
      </c>
      <c r="G43" s="1">
        <f t="shared" ca="1" si="4"/>
        <v>41144</v>
      </c>
      <c r="H43" s="1">
        <f t="shared" ca="1" si="4"/>
        <v>41145</v>
      </c>
      <c r="I43" s="1">
        <f t="shared" ca="1" si="4"/>
        <v>41146</v>
      </c>
      <c r="J43" s="1">
        <f t="shared" ca="1" si="4"/>
        <v>41147</v>
      </c>
      <c r="K43" s="1">
        <f t="shared" ca="1" si="4"/>
        <v>41148</v>
      </c>
      <c r="L43" s="1">
        <f t="shared" ca="1" si="4"/>
        <v>41149</v>
      </c>
      <c r="M43" s="1">
        <f t="shared" ca="1" si="4"/>
        <v>41150</v>
      </c>
      <c r="N43" s="1">
        <f t="shared" ca="1" si="4"/>
        <v>41151</v>
      </c>
      <c r="O43" s="1">
        <f t="shared" ca="1" si="4"/>
        <v>41152</v>
      </c>
      <c r="P43" s="1">
        <f t="shared" ca="1" si="4"/>
        <v>41153</v>
      </c>
      <c r="Q43" s="1">
        <f t="shared" ca="1" si="4"/>
        <v>41154</v>
      </c>
      <c r="R43" s="1">
        <f t="shared" ca="1" si="4"/>
        <v>41155</v>
      </c>
      <c r="S43" s="1">
        <f t="shared" ca="1" si="4"/>
        <v>41156</v>
      </c>
      <c r="T43" s="1">
        <f t="shared" ca="1" si="4"/>
        <v>41157</v>
      </c>
      <c r="U43" s="1">
        <f t="shared" ca="1" si="4"/>
        <v>41158</v>
      </c>
      <c r="V43" s="1">
        <f t="shared" ca="1" si="4"/>
        <v>41159</v>
      </c>
      <c r="W43" s="1">
        <f t="shared" ca="1" si="4"/>
        <v>41160</v>
      </c>
      <c r="X43" s="1">
        <f t="shared" ca="1" si="4"/>
        <v>41161</v>
      </c>
      <c r="Y43" s="1">
        <f t="shared" ca="1" si="4"/>
        <v>41162</v>
      </c>
      <c r="Z43" s="1">
        <f t="shared" ca="1" si="4"/>
        <v>41163</v>
      </c>
      <c r="AA43" s="1">
        <f t="shared" ca="1" si="4"/>
        <v>41164</v>
      </c>
      <c r="AB43" s="1">
        <f t="shared" ca="1" si="4"/>
        <v>41165</v>
      </c>
      <c r="AC43" s="1">
        <f t="shared" ca="1" si="4"/>
        <v>41166</v>
      </c>
      <c r="AD43" s="1">
        <f t="shared" ca="1" si="4"/>
        <v>41167</v>
      </c>
      <c r="AE43" s="1">
        <f t="shared" ca="1" si="4"/>
        <v>41168</v>
      </c>
      <c r="AF43" s="1">
        <f t="shared" ca="1" si="4"/>
        <v>41169</v>
      </c>
      <c r="AG43" s="1">
        <f t="shared" ca="1" si="4"/>
        <v>41170</v>
      </c>
      <c r="AH43" s="1">
        <f t="shared" ca="1" si="4"/>
        <v>41171</v>
      </c>
    </row>
    <row r="44" spans="1:35" x14ac:dyDescent="0.2">
      <c r="C44" t="e">
        <f ca="1">C32</f>
        <v>#N/A</v>
      </c>
      <c r="D44" t="e">
        <f ca="1">UPPER(INDEX(Activités[ACTIVITÉ],MATCH($C44,Activités[ID],0)))</f>
        <v>#N/A</v>
      </c>
      <c r="E44" t="e">
        <f t="shared" ref="E44:AH44" ca="1" si="5">IF(ISERROR(F32),E32,NA())</f>
        <v>#N/A</v>
      </c>
      <c r="F44" t="e">
        <f t="shared" ca="1" si="5"/>
        <v>#N/A</v>
      </c>
      <c r="G44" t="e">
        <f t="shared" ca="1" si="5"/>
        <v>#N/A</v>
      </c>
      <c r="H44" t="e">
        <f t="shared" ca="1" si="5"/>
        <v>#N/A</v>
      </c>
      <c r="I44" t="e">
        <f t="shared" ca="1" si="5"/>
        <v>#N/A</v>
      </c>
      <c r="J44" t="e">
        <f t="shared" ca="1" si="5"/>
        <v>#N/A</v>
      </c>
      <c r="K44" t="e">
        <f t="shared" ca="1" si="5"/>
        <v>#N/A</v>
      </c>
      <c r="L44" t="e">
        <f t="shared" ca="1" si="5"/>
        <v>#N/A</v>
      </c>
      <c r="M44" t="e">
        <f t="shared" ca="1" si="5"/>
        <v>#N/A</v>
      </c>
      <c r="N44" t="e">
        <f t="shared" ca="1" si="5"/>
        <v>#N/A</v>
      </c>
      <c r="O44" t="e">
        <f t="shared" ca="1" si="5"/>
        <v>#N/A</v>
      </c>
      <c r="P44" t="e">
        <f t="shared" ca="1" si="5"/>
        <v>#N/A</v>
      </c>
      <c r="Q44" t="e">
        <f t="shared" ca="1" si="5"/>
        <v>#N/A</v>
      </c>
      <c r="R44" t="e">
        <f t="shared" ca="1" si="5"/>
        <v>#N/A</v>
      </c>
      <c r="S44" t="e">
        <f t="shared" ca="1" si="5"/>
        <v>#N/A</v>
      </c>
      <c r="T44" t="e">
        <f t="shared" ca="1" si="5"/>
        <v>#N/A</v>
      </c>
      <c r="U44" t="e">
        <f t="shared" ca="1" si="5"/>
        <v>#N/A</v>
      </c>
      <c r="V44" t="e">
        <f t="shared" ca="1" si="5"/>
        <v>#N/A</v>
      </c>
      <c r="W44" t="e">
        <f t="shared" ca="1" si="5"/>
        <v>#N/A</v>
      </c>
      <c r="X44" t="e">
        <f t="shared" ca="1" si="5"/>
        <v>#N/A</v>
      </c>
      <c r="Y44" t="e">
        <f t="shared" ca="1" si="5"/>
        <v>#N/A</v>
      </c>
      <c r="Z44" t="e">
        <f t="shared" ca="1" si="5"/>
        <v>#N/A</v>
      </c>
      <c r="AA44" t="e">
        <f t="shared" ca="1" si="5"/>
        <v>#N/A</v>
      </c>
      <c r="AB44" t="e">
        <f t="shared" ca="1" si="5"/>
        <v>#N/A</v>
      </c>
      <c r="AC44" t="e">
        <f t="shared" ca="1" si="5"/>
        <v>#N/A</v>
      </c>
      <c r="AD44" t="e">
        <f t="shared" ca="1" si="5"/>
        <v>#N/A</v>
      </c>
      <c r="AE44" t="e">
        <f t="shared" ca="1" si="5"/>
        <v>#N/A</v>
      </c>
      <c r="AF44" t="e">
        <f t="shared" ca="1" si="5"/>
        <v>#N/A</v>
      </c>
      <c r="AG44" t="e">
        <f t="shared" ca="1" si="5"/>
        <v>#N/A</v>
      </c>
      <c r="AH44" t="e">
        <f t="shared" ca="1" si="5"/>
        <v>#N/A</v>
      </c>
    </row>
    <row r="45" spans="1:35" x14ac:dyDescent="0.2">
      <c r="C45" t="e">
        <f t="shared" ref="C45:C52" ca="1" si="6">C33</f>
        <v>#N/A</v>
      </c>
      <c r="D45" t="e">
        <f ca="1">UPPER(INDEX(Activités[ACTIVITÉ],MATCH($C45,Activités[ID],0)))</f>
        <v>#N/A</v>
      </c>
      <c r="E45" t="e">
        <f t="shared" ref="E45:AH45" ca="1" si="7">IF(ISERROR(F33),E33,NA())</f>
        <v>#N/A</v>
      </c>
      <c r="F45" t="e">
        <f t="shared" ca="1" si="7"/>
        <v>#N/A</v>
      </c>
      <c r="G45" t="e">
        <f t="shared" ca="1" si="7"/>
        <v>#N/A</v>
      </c>
      <c r="H45" t="e">
        <f t="shared" ca="1" si="7"/>
        <v>#N/A</v>
      </c>
      <c r="I45" t="e">
        <f t="shared" ca="1" si="7"/>
        <v>#N/A</v>
      </c>
      <c r="J45" t="e">
        <f t="shared" ca="1" si="7"/>
        <v>#N/A</v>
      </c>
      <c r="K45" t="e">
        <f t="shared" ca="1" si="7"/>
        <v>#N/A</v>
      </c>
      <c r="L45" t="e">
        <f t="shared" ca="1" si="7"/>
        <v>#N/A</v>
      </c>
      <c r="M45" t="e">
        <f t="shared" ca="1" si="7"/>
        <v>#N/A</v>
      </c>
      <c r="N45" t="e">
        <f t="shared" ca="1" si="7"/>
        <v>#N/A</v>
      </c>
      <c r="O45" t="e">
        <f t="shared" ca="1" si="7"/>
        <v>#N/A</v>
      </c>
      <c r="P45" t="e">
        <f t="shared" ca="1" si="7"/>
        <v>#N/A</v>
      </c>
      <c r="Q45" t="e">
        <f t="shared" ca="1" si="7"/>
        <v>#N/A</v>
      </c>
      <c r="R45" t="e">
        <f t="shared" ca="1" si="7"/>
        <v>#N/A</v>
      </c>
      <c r="S45" t="e">
        <f t="shared" ca="1" si="7"/>
        <v>#N/A</v>
      </c>
      <c r="T45" t="e">
        <f t="shared" ca="1" si="7"/>
        <v>#N/A</v>
      </c>
      <c r="U45" t="e">
        <f t="shared" ca="1" si="7"/>
        <v>#N/A</v>
      </c>
      <c r="V45" t="e">
        <f t="shared" ca="1" si="7"/>
        <v>#N/A</v>
      </c>
      <c r="W45" t="e">
        <f t="shared" ca="1" si="7"/>
        <v>#N/A</v>
      </c>
      <c r="X45" t="e">
        <f t="shared" ca="1" si="7"/>
        <v>#N/A</v>
      </c>
      <c r="Y45" t="e">
        <f t="shared" ca="1" si="7"/>
        <v>#N/A</v>
      </c>
      <c r="Z45" t="e">
        <f t="shared" ca="1" si="7"/>
        <v>#N/A</v>
      </c>
      <c r="AA45" t="e">
        <f t="shared" ca="1" si="7"/>
        <v>#N/A</v>
      </c>
      <c r="AB45" t="e">
        <f t="shared" ca="1" si="7"/>
        <v>#N/A</v>
      </c>
      <c r="AC45" t="e">
        <f t="shared" ca="1" si="7"/>
        <v>#N/A</v>
      </c>
      <c r="AD45" t="e">
        <f t="shared" ca="1" si="7"/>
        <v>#N/A</v>
      </c>
      <c r="AE45" t="e">
        <f t="shared" ca="1" si="7"/>
        <v>#N/A</v>
      </c>
      <c r="AF45" t="e">
        <f t="shared" ca="1" si="7"/>
        <v>#N/A</v>
      </c>
      <c r="AG45" t="e">
        <f t="shared" ca="1" si="7"/>
        <v>#N/A</v>
      </c>
      <c r="AH45" t="e">
        <f t="shared" ca="1" si="7"/>
        <v>#N/A</v>
      </c>
    </row>
    <row r="46" spans="1:35" x14ac:dyDescent="0.2">
      <c r="C46" t="e">
        <f t="shared" ca="1" si="6"/>
        <v>#N/A</v>
      </c>
      <c r="D46" t="e">
        <f ca="1">UPPER(INDEX(Activités[ACTIVITÉ],MATCH($C46,Activités[ID],0)))</f>
        <v>#N/A</v>
      </c>
      <c r="E46" t="e">
        <f t="shared" ref="E46:AH46" ca="1" si="8">IF(ISERROR(F34),E34,NA())</f>
        <v>#N/A</v>
      </c>
      <c r="F46" t="e">
        <f t="shared" ca="1" si="8"/>
        <v>#N/A</v>
      </c>
      <c r="G46" t="e">
        <f t="shared" ca="1" si="8"/>
        <v>#N/A</v>
      </c>
      <c r="H46" t="e">
        <f t="shared" ca="1" si="8"/>
        <v>#N/A</v>
      </c>
      <c r="I46" t="e">
        <f t="shared" ca="1" si="8"/>
        <v>#N/A</v>
      </c>
      <c r="J46" t="e">
        <f t="shared" ca="1" si="8"/>
        <v>#N/A</v>
      </c>
      <c r="K46" t="e">
        <f t="shared" ca="1" si="8"/>
        <v>#N/A</v>
      </c>
      <c r="L46" t="e">
        <f t="shared" ca="1" si="8"/>
        <v>#N/A</v>
      </c>
      <c r="M46" t="e">
        <f t="shared" ca="1" si="8"/>
        <v>#N/A</v>
      </c>
      <c r="N46" t="e">
        <f t="shared" ca="1" si="8"/>
        <v>#N/A</v>
      </c>
      <c r="O46" t="e">
        <f t="shared" ca="1" si="8"/>
        <v>#N/A</v>
      </c>
      <c r="P46" t="e">
        <f t="shared" ca="1" si="8"/>
        <v>#N/A</v>
      </c>
      <c r="Q46" t="e">
        <f t="shared" ca="1" si="8"/>
        <v>#N/A</v>
      </c>
      <c r="R46" t="e">
        <f t="shared" ca="1" si="8"/>
        <v>#N/A</v>
      </c>
      <c r="S46" t="e">
        <f t="shared" ca="1" si="8"/>
        <v>#N/A</v>
      </c>
      <c r="T46" t="e">
        <f t="shared" ca="1" si="8"/>
        <v>#N/A</v>
      </c>
      <c r="U46" t="e">
        <f t="shared" ca="1" si="8"/>
        <v>#N/A</v>
      </c>
      <c r="V46" t="e">
        <f t="shared" ca="1" si="8"/>
        <v>#N/A</v>
      </c>
      <c r="W46" t="e">
        <f t="shared" ca="1" si="8"/>
        <v>#N/A</v>
      </c>
      <c r="X46" t="e">
        <f t="shared" ca="1" si="8"/>
        <v>#N/A</v>
      </c>
      <c r="Y46" t="e">
        <f t="shared" ca="1" si="8"/>
        <v>#N/A</v>
      </c>
      <c r="Z46" t="e">
        <f t="shared" ca="1" si="8"/>
        <v>#N/A</v>
      </c>
      <c r="AA46" t="e">
        <f t="shared" ca="1" si="8"/>
        <v>#N/A</v>
      </c>
      <c r="AB46" t="e">
        <f t="shared" ca="1" si="8"/>
        <v>#N/A</v>
      </c>
      <c r="AC46" t="e">
        <f t="shared" ca="1" si="8"/>
        <v>#N/A</v>
      </c>
      <c r="AD46" t="e">
        <f t="shared" ca="1" si="8"/>
        <v>#N/A</v>
      </c>
      <c r="AE46" t="e">
        <f t="shared" ca="1" si="8"/>
        <v>#N/A</v>
      </c>
      <c r="AF46" t="e">
        <f t="shared" ca="1" si="8"/>
        <v>#N/A</v>
      </c>
      <c r="AG46" t="e">
        <f t="shared" ca="1" si="8"/>
        <v>#N/A</v>
      </c>
      <c r="AH46" t="e">
        <f t="shared" ca="1" si="8"/>
        <v>#N/A</v>
      </c>
    </row>
    <row r="47" spans="1:35" x14ac:dyDescent="0.2">
      <c r="C47" t="e">
        <f t="shared" ca="1" si="6"/>
        <v>#N/A</v>
      </c>
      <c r="D47" t="e">
        <f ca="1">UPPER(INDEX(Activités[ACTIVITÉ],MATCH($C47,Activités[ID],0)))</f>
        <v>#N/A</v>
      </c>
      <c r="E47" t="e">
        <f t="shared" ref="E47:AH47" ca="1" si="9">IF(ISERROR(F35),E35,NA())</f>
        <v>#N/A</v>
      </c>
      <c r="F47" t="e">
        <f t="shared" ca="1" si="9"/>
        <v>#N/A</v>
      </c>
      <c r="G47" t="e">
        <f t="shared" ca="1" si="9"/>
        <v>#N/A</v>
      </c>
      <c r="H47" t="e">
        <f t="shared" ca="1" si="9"/>
        <v>#N/A</v>
      </c>
      <c r="I47" t="e">
        <f t="shared" ca="1" si="9"/>
        <v>#N/A</v>
      </c>
      <c r="J47" t="e">
        <f t="shared" ca="1" si="9"/>
        <v>#N/A</v>
      </c>
      <c r="K47" t="e">
        <f t="shared" ca="1" si="9"/>
        <v>#N/A</v>
      </c>
      <c r="L47" t="e">
        <f t="shared" ca="1" si="9"/>
        <v>#N/A</v>
      </c>
      <c r="M47" t="e">
        <f t="shared" ca="1" si="9"/>
        <v>#N/A</v>
      </c>
      <c r="N47" t="e">
        <f t="shared" ca="1" si="9"/>
        <v>#N/A</v>
      </c>
      <c r="O47" t="e">
        <f t="shared" ca="1" si="9"/>
        <v>#N/A</v>
      </c>
      <c r="P47" t="e">
        <f t="shared" ca="1" si="9"/>
        <v>#N/A</v>
      </c>
      <c r="Q47" t="e">
        <f t="shared" ca="1" si="9"/>
        <v>#N/A</v>
      </c>
      <c r="R47" t="e">
        <f t="shared" ca="1" si="9"/>
        <v>#N/A</v>
      </c>
      <c r="S47" t="e">
        <f t="shared" ca="1" si="9"/>
        <v>#N/A</v>
      </c>
      <c r="T47" t="e">
        <f t="shared" ca="1" si="9"/>
        <v>#N/A</v>
      </c>
      <c r="U47" t="e">
        <f t="shared" ca="1" si="9"/>
        <v>#N/A</v>
      </c>
      <c r="V47" t="e">
        <f t="shared" ca="1" si="9"/>
        <v>#N/A</v>
      </c>
      <c r="W47" t="e">
        <f t="shared" ca="1" si="9"/>
        <v>#N/A</v>
      </c>
      <c r="X47" t="e">
        <f t="shared" ca="1" si="9"/>
        <v>#N/A</v>
      </c>
      <c r="Y47" t="e">
        <f t="shared" ca="1" si="9"/>
        <v>#N/A</v>
      </c>
      <c r="Z47" t="e">
        <f t="shared" ca="1" si="9"/>
        <v>#N/A</v>
      </c>
      <c r="AA47" t="e">
        <f t="shared" ca="1" si="9"/>
        <v>#N/A</v>
      </c>
      <c r="AB47" t="e">
        <f t="shared" ca="1" si="9"/>
        <v>#N/A</v>
      </c>
      <c r="AC47" t="e">
        <f t="shared" ca="1" si="9"/>
        <v>#N/A</v>
      </c>
      <c r="AD47" t="e">
        <f t="shared" ca="1" si="9"/>
        <v>#N/A</v>
      </c>
      <c r="AE47" t="e">
        <f t="shared" ca="1" si="9"/>
        <v>#N/A</v>
      </c>
      <c r="AF47" t="e">
        <f t="shared" ca="1" si="9"/>
        <v>#N/A</v>
      </c>
      <c r="AG47" t="e">
        <f t="shared" ca="1" si="9"/>
        <v>#N/A</v>
      </c>
      <c r="AH47" t="e">
        <f t="shared" ca="1" si="9"/>
        <v>#N/A</v>
      </c>
    </row>
    <row r="48" spans="1:35" x14ac:dyDescent="0.2">
      <c r="C48">
        <f t="shared" ca="1" si="6"/>
        <v>1</v>
      </c>
      <c r="D48" t="str">
        <f ca="1">UPPER(INDEX(Activités[ACTIVITÉ],MATCH($C48,Activités[ID],0)))</f>
        <v>DÉBUT DU PROJET</v>
      </c>
      <c r="E48" t="e">
        <f t="shared" ref="E48:AH48" ca="1" si="10">IF(ISERROR(F36),E36,NA())</f>
        <v>#N/A</v>
      </c>
      <c r="F48" t="e">
        <f t="shared" ca="1" si="10"/>
        <v>#N/A</v>
      </c>
      <c r="G48" t="e">
        <f t="shared" ca="1" si="10"/>
        <v>#N/A</v>
      </c>
      <c r="H48">
        <f t="shared" ca="1" si="10"/>
        <v>7.3000000000000007</v>
      </c>
      <c r="I48" t="e">
        <f t="shared" ca="1" si="10"/>
        <v>#N/A</v>
      </c>
      <c r="J48" t="e">
        <f t="shared" ca="1" si="10"/>
        <v>#N/A</v>
      </c>
      <c r="K48" t="e">
        <f t="shared" ca="1" si="10"/>
        <v>#N/A</v>
      </c>
      <c r="L48" t="e">
        <f t="shared" ca="1" si="10"/>
        <v>#N/A</v>
      </c>
      <c r="M48" t="e">
        <f t="shared" ca="1" si="10"/>
        <v>#N/A</v>
      </c>
      <c r="N48" t="e">
        <f t="shared" ca="1" si="10"/>
        <v>#N/A</v>
      </c>
      <c r="O48" t="e">
        <f t="shared" ca="1" si="10"/>
        <v>#N/A</v>
      </c>
      <c r="P48" t="e">
        <f t="shared" ca="1" si="10"/>
        <v>#N/A</v>
      </c>
      <c r="Q48" t="e">
        <f t="shared" ca="1" si="10"/>
        <v>#N/A</v>
      </c>
      <c r="R48" t="e">
        <f t="shared" ca="1" si="10"/>
        <v>#N/A</v>
      </c>
      <c r="S48" t="e">
        <f t="shared" ca="1" si="10"/>
        <v>#N/A</v>
      </c>
      <c r="T48" t="e">
        <f t="shared" ca="1" si="10"/>
        <v>#N/A</v>
      </c>
      <c r="U48" t="e">
        <f t="shared" ca="1" si="10"/>
        <v>#N/A</v>
      </c>
      <c r="V48" t="e">
        <f t="shared" ca="1" si="10"/>
        <v>#N/A</v>
      </c>
      <c r="W48" t="e">
        <f t="shared" ca="1" si="10"/>
        <v>#N/A</v>
      </c>
      <c r="X48" t="e">
        <f t="shared" ca="1" si="10"/>
        <v>#N/A</v>
      </c>
      <c r="Y48" t="e">
        <f t="shared" ca="1" si="10"/>
        <v>#N/A</v>
      </c>
      <c r="Z48" t="e">
        <f t="shared" ca="1" si="10"/>
        <v>#N/A</v>
      </c>
      <c r="AA48" t="e">
        <f t="shared" ca="1" si="10"/>
        <v>#N/A</v>
      </c>
      <c r="AB48" t="e">
        <f t="shared" ca="1" si="10"/>
        <v>#N/A</v>
      </c>
      <c r="AC48" t="e">
        <f t="shared" ca="1" si="10"/>
        <v>#N/A</v>
      </c>
      <c r="AD48" t="e">
        <f t="shared" ca="1" si="10"/>
        <v>#N/A</v>
      </c>
      <c r="AE48" t="e">
        <f t="shared" ca="1" si="10"/>
        <v>#N/A</v>
      </c>
      <c r="AF48" t="e">
        <f t="shared" ca="1" si="10"/>
        <v>#N/A</v>
      </c>
      <c r="AG48" t="e">
        <f t="shared" ca="1" si="10"/>
        <v>#N/A</v>
      </c>
      <c r="AH48" t="e">
        <f t="shared" ca="1" si="10"/>
        <v>#N/A</v>
      </c>
    </row>
    <row r="49" spans="3:34" x14ac:dyDescent="0.2">
      <c r="C49">
        <f t="shared" ca="1" si="6"/>
        <v>2</v>
      </c>
      <c r="D49" t="str">
        <f ca="1">UPPER(INDEX(Activités[ACTIVITÉ],MATCH($C49,Activités[ID],0)))</f>
        <v>JALON 1</v>
      </c>
      <c r="E49" t="e">
        <f t="shared" ref="E49:AH49" ca="1" si="11">IF(ISERROR(F37),E37,NA())</f>
        <v>#N/A</v>
      </c>
      <c r="F49" t="e">
        <f t="shared" ca="1" si="11"/>
        <v>#N/A</v>
      </c>
      <c r="G49" t="e">
        <f t="shared" ca="1" si="11"/>
        <v>#N/A</v>
      </c>
      <c r="H49" t="e">
        <f t="shared" ca="1" si="11"/>
        <v>#N/A</v>
      </c>
      <c r="I49" t="e">
        <f t="shared" ca="1" si="11"/>
        <v>#N/A</v>
      </c>
      <c r="J49" t="e">
        <f t="shared" ca="1" si="11"/>
        <v>#N/A</v>
      </c>
      <c r="K49" t="e">
        <f t="shared" ca="1" si="11"/>
        <v>#N/A</v>
      </c>
      <c r="L49" t="e">
        <f t="shared" ca="1" si="11"/>
        <v>#N/A</v>
      </c>
      <c r="M49" t="e">
        <f t="shared" ca="1" si="11"/>
        <v>#N/A</v>
      </c>
      <c r="N49" t="e">
        <f t="shared" ca="1" si="11"/>
        <v>#N/A</v>
      </c>
      <c r="O49" t="e">
        <f t="shared" ca="1" si="11"/>
        <v>#N/A</v>
      </c>
      <c r="P49" t="e">
        <f t="shared" ca="1" si="11"/>
        <v>#N/A</v>
      </c>
      <c r="Q49" t="e">
        <f t="shared" ca="1" si="11"/>
        <v>#N/A</v>
      </c>
      <c r="R49" t="e">
        <f t="shared" ca="1" si="11"/>
        <v>#N/A</v>
      </c>
      <c r="S49" t="e">
        <f t="shared" ca="1" si="11"/>
        <v>#N/A</v>
      </c>
      <c r="T49" t="e">
        <f t="shared" ca="1" si="11"/>
        <v>#N/A</v>
      </c>
      <c r="U49">
        <f t="shared" ca="1" si="11"/>
        <v>6.3000000000000007</v>
      </c>
      <c r="V49" t="e">
        <f t="shared" ca="1" si="11"/>
        <v>#N/A</v>
      </c>
      <c r="W49" t="e">
        <f t="shared" ca="1" si="11"/>
        <v>#N/A</v>
      </c>
      <c r="X49" t="e">
        <f t="shared" ca="1" si="11"/>
        <v>#N/A</v>
      </c>
      <c r="Y49" t="e">
        <f t="shared" ca="1" si="11"/>
        <v>#N/A</v>
      </c>
      <c r="Z49" t="e">
        <f t="shared" ca="1" si="11"/>
        <v>#N/A</v>
      </c>
      <c r="AA49" t="e">
        <f t="shared" ca="1" si="11"/>
        <v>#N/A</v>
      </c>
      <c r="AB49" t="e">
        <f t="shared" ca="1" si="11"/>
        <v>#N/A</v>
      </c>
      <c r="AC49" t="e">
        <f t="shared" ca="1" si="11"/>
        <v>#N/A</v>
      </c>
      <c r="AD49" t="e">
        <f t="shared" ca="1" si="11"/>
        <v>#N/A</v>
      </c>
      <c r="AE49" t="e">
        <f t="shared" ca="1" si="11"/>
        <v>#N/A</v>
      </c>
      <c r="AF49" t="e">
        <f t="shared" ca="1" si="11"/>
        <v>#N/A</v>
      </c>
      <c r="AG49" t="e">
        <f t="shared" ca="1" si="11"/>
        <v>#N/A</v>
      </c>
      <c r="AH49" t="e">
        <f t="shared" ca="1" si="11"/>
        <v>#N/A</v>
      </c>
    </row>
    <row r="50" spans="3:34" x14ac:dyDescent="0.2">
      <c r="C50">
        <f t="shared" ca="1" si="6"/>
        <v>3</v>
      </c>
      <c r="D50" t="str">
        <f ca="1">UPPER(INDEX(Activités[ACTIVITÉ],MATCH($C50,Activités[ID],0)))</f>
        <v>JALON 2</v>
      </c>
      <c r="E50" t="e">
        <f t="shared" ref="E50:AH50" ca="1" si="12">IF(ISERROR(F38),E38,NA())</f>
        <v>#N/A</v>
      </c>
      <c r="F50" t="e">
        <f t="shared" ca="1" si="12"/>
        <v>#N/A</v>
      </c>
      <c r="G50" t="e">
        <f t="shared" ca="1" si="12"/>
        <v>#N/A</v>
      </c>
      <c r="H50" t="e">
        <f t="shared" ca="1" si="12"/>
        <v>#N/A</v>
      </c>
      <c r="I50" t="e">
        <f t="shared" ca="1" si="12"/>
        <v>#N/A</v>
      </c>
      <c r="J50" t="e">
        <f t="shared" ca="1" si="12"/>
        <v>#N/A</v>
      </c>
      <c r="K50" t="e">
        <f t="shared" ca="1" si="12"/>
        <v>#N/A</v>
      </c>
      <c r="L50" t="e">
        <f t="shared" ca="1" si="12"/>
        <v>#N/A</v>
      </c>
      <c r="M50" t="e">
        <f t="shared" ca="1" si="12"/>
        <v>#N/A</v>
      </c>
      <c r="N50" t="e">
        <f t="shared" ca="1" si="12"/>
        <v>#N/A</v>
      </c>
      <c r="O50" t="e">
        <f t="shared" ca="1" si="12"/>
        <v>#N/A</v>
      </c>
      <c r="P50" t="e">
        <f t="shared" ca="1" si="12"/>
        <v>#N/A</v>
      </c>
      <c r="Q50" t="e">
        <f t="shared" ca="1" si="12"/>
        <v>#N/A</v>
      </c>
      <c r="R50" t="e">
        <f t="shared" ca="1" si="12"/>
        <v>#N/A</v>
      </c>
      <c r="S50" t="e">
        <f t="shared" ca="1" si="12"/>
        <v>#N/A</v>
      </c>
      <c r="T50" t="e">
        <f t="shared" ca="1" si="12"/>
        <v>#N/A</v>
      </c>
      <c r="U50" t="e">
        <f t="shared" ca="1" si="12"/>
        <v>#N/A</v>
      </c>
      <c r="V50">
        <f t="shared" ca="1" si="12"/>
        <v>5.3000000000000007</v>
      </c>
      <c r="W50" t="e">
        <f t="shared" ca="1" si="12"/>
        <v>#N/A</v>
      </c>
      <c r="X50" t="e">
        <f t="shared" ca="1" si="12"/>
        <v>#N/A</v>
      </c>
      <c r="Y50" t="e">
        <f t="shared" ca="1" si="12"/>
        <v>#N/A</v>
      </c>
      <c r="Z50" t="e">
        <f t="shared" ca="1" si="12"/>
        <v>#N/A</v>
      </c>
      <c r="AA50" t="e">
        <f t="shared" ca="1" si="12"/>
        <v>#N/A</v>
      </c>
      <c r="AB50" t="e">
        <f t="shared" ca="1" si="12"/>
        <v>#N/A</v>
      </c>
      <c r="AC50" t="e">
        <f t="shared" ca="1" si="12"/>
        <v>#N/A</v>
      </c>
      <c r="AD50" t="e">
        <f t="shared" ca="1" si="12"/>
        <v>#N/A</v>
      </c>
      <c r="AE50" t="e">
        <f t="shared" ca="1" si="12"/>
        <v>#N/A</v>
      </c>
      <c r="AF50" t="e">
        <f t="shared" ca="1" si="12"/>
        <v>#N/A</v>
      </c>
      <c r="AG50" t="e">
        <f t="shared" ca="1" si="12"/>
        <v>#N/A</v>
      </c>
      <c r="AH50" t="e">
        <f t="shared" ca="1" si="12"/>
        <v>#N/A</v>
      </c>
    </row>
    <row r="51" spans="3:34" x14ac:dyDescent="0.2">
      <c r="C51">
        <f t="shared" ca="1" si="6"/>
        <v>4</v>
      </c>
      <c r="D51" t="str">
        <f ca="1">UPPER(INDEX(Activités[ACTIVITÉ],MATCH($C51,Activités[ID],0)))</f>
        <v>JALON 3</v>
      </c>
      <c r="E51" t="e">
        <f t="shared" ref="E51:AH51" ca="1" si="13">IF(ISERROR(F39),E39,NA())</f>
        <v>#N/A</v>
      </c>
      <c r="F51" t="e">
        <f t="shared" ca="1" si="13"/>
        <v>#N/A</v>
      </c>
      <c r="G51" t="e">
        <f t="shared" ca="1" si="13"/>
        <v>#N/A</v>
      </c>
      <c r="H51" t="e">
        <f t="shared" ca="1" si="13"/>
        <v>#N/A</v>
      </c>
      <c r="I51" t="e">
        <f t="shared" ca="1" si="13"/>
        <v>#N/A</v>
      </c>
      <c r="J51" t="e">
        <f t="shared" ca="1" si="13"/>
        <v>#N/A</v>
      </c>
      <c r="K51" t="e">
        <f t="shared" ca="1" si="13"/>
        <v>#N/A</v>
      </c>
      <c r="L51" t="e">
        <f t="shared" ca="1" si="13"/>
        <v>#N/A</v>
      </c>
      <c r="M51" t="e">
        <f t="shared" ca="1" si="13"/>
        <v>#N/A</v>
      </c>
      <c r="N51" t="e">
        <f t="shared" ca="1" si="13"/>
        <v>#N/A</v>
      </c>
      <c r="O51" t="e">
        <f t="shared" ca="1" si="13"/>
        <v>#N/A</v>
      </c>
      <c r="P51" t="e">
        <f t="shared" ca="1" si="13"/>
        <v>#N/A</v>
      </c>
      <c r="Q51" t="e">
        <f t="shared" ca="1" si="13"/>
        <v>#N/A</v>
      </c>
      <c r="R51" t="e">
        <f t="shared" ca="1" si="13"/>
        <v>#N/A</v>
      </c>
      <c r="S51" t="e">
        <f t="shared" ca="1" si="13"/>
        <v>#N/A</v>
      </c>
      <c r="T51" t="e">
        <f t="shared" ca="1" si="13"/>
        <v>#N/A</v>
      </c>
      <c r="U51" t="e">
        <f t="shared" ca="1" si="13"/>
        <v>#N/A</v>
      </c>
      <c r="V51" t="e">
        <f t="shared" ca="1" si="13"/>
        <v>#N/A</v>
      </c>
      <c r="W51" t="e">
        <f t="shared" ca="1" si="13"/>
        <v>#N/A</v>
      </c>
      <c r="X51">
        <f t="shared" ca="1" si="13"/>
        <v>4.3000000000000007</v>
      </c>
      <c r="Y51" t="e">
        <f t="shared" ca="1" si="13"/>
        <v>#N/A</v>
      </c>
      <c r="Z51" t="e">
        <f t="shared" ca="1" si="13"/>
        <v>#N/A</v>
      </c>
      <c r="AA51" t="e">
        <f t="shared" ca="1" si="13"/>
        <v>#N/A</v>
      </c>
      <c r="AB51" t="e">
        <f t="shared" ca="1" si="13"/>
        <v>#N/A</v>
      </c>
      <c r="AC51" t="e">
        <f t="shared" ca="1" si="13"/>
        <v>#N/A</v>
      </c>
      <c r="AD51" t="e">
        <f t="shared" ca="1" si="13"/>
        <v>#N/A</v>
      </c>
      <c r="AE51" t="e">
        <f t="shared" ca="1" si="13"/>
        <v>#N/A</v>
      </c>
      <c r="AF51" t="e">
        <f t="shared" ca="1" si="13"/>
        <v>#N/A</v>
      </c>
      <c r="AG51" t="e">
        <f t="shared" ca="1" si="13"/>
        <v>#N/A</v>
      </c>
      <c r="AH51" t="e">
        <f t="shared" ca="1" si="13"/>
        <v>#N/A</v>
      </c>
    </row>
    <row r="52" spans="3:34" x14ac:dyDescent="0.2">
      <c r="C52">
        <f t="shared" ca="1" si="6"/>
        <v>5</v>
      </c>
      <c r="D52" t="str">
        <f ca="1">UPPER(INDEX(Activités[ACTIVITÉ],MATCH($C52,Activités[ID],0)))</f>
        <v>JALON 4</v>
      </c>
      <c r="E52" t="e">
        <f t="shared" ref="E52:AH52" ca="1" si="14">IF(ISERROR(F40),E40,NA())</f>
        <v>#N/A</v>
      </c>
      <c r="F52" t="e">
        <f t="shared" ca="1" si="14"/>
        <v>#N/A</v>
      </c>
      <c r="G52" t="e">
        <f t="shared" ca="1" si="14"/>
        <v>#N/A</v>
      </c>
      <c r="H52" t="e">
        <f t="shared" ca="1" si="14"/>
        <v>#N/A</v>
      </c>
      <c r="I52" t="e">
        <f t="shared" ca="1" si="14"/>
        <v>#N/A</v>
      </c>
      <c r="J52" t="e">
        <f t="shared" ca="1" si="14"/>
        <v>#N/A</v>
      </c>
      <c r="K52" t="e">
        <f t="shared" ca="1" si="14"/>
        <v>#N/A</v>
      </c>
      <c r="L52" t="e">
        <f t="shared" ca="1" si="14"/>
        <v>#N/A</v>
      </c>
      <c r="M52" t="e">
        <f t="shared" ca="1" si="14"/>
        <v>#N/A</v>
      </c>
      <c r="N52" t="e">
        <f t="shared" ca="1" si="14"/>
        <v>#N/A</v>
      </c>
      <c r="O52" t="e">
        <f t="shared" ca="1" si="14"/>
        <v>#N/A</v>
      </c>
      <c r="P52" t="e">
        <f t="shared" ca="1" si="14"/>
        <v>#N/A</v>
      </c>
      <c r="Q52" t="e">
        <f t="shared" ca="1" si="14"/>
        <v>#N/A</v>
      </c>
      <c r="R52" t="e">
        <f t="shared" ca="1" si="14"/>
        <v>#N/A</v>
      </c>
      <c r="S52" t="e">
        <f t="shared" ca="1" si="14"/>
        <v>#N/A</v>
      </c>
      <c r="T52" t="e">
        <f t="shared" ca="1" si="14"/>
        <v>#N/A</v>
      </c>
      <c r="U52" t="e">
        <f t="shared" ca="1" si="14"/>
        <v>#N/A</v>
      </c>
      <c r="V52" t="e">
        <f t="shared" ca="1" si="14"/>
        <v>#N/A</v>
      </c>
      <c r="W52" t="e">
        <f t="shared" ca="1" si="14"/>
        <v>#N/A</v>
      </c>
      <c r="X52" t="e">
        <f t="shared" ca="1" si="14"/>
        <v>#N/A</v>
      </c>
      <c r="Y52" t="e">
        <f t="shared" ca="1" si="14"/>
        <v>#N/A</v>
      </c>
      <c r="Z52" t="e">
        <f t="shared" ca="1" si="14"/>
        <v>#N/A</v>
      </c>
      <c r="AA52" t="e">
        <f t="shared" ca="1" si="14"/>
        <v>#N/A</v>
      </c>
      <c r="AB52" t="e">
        <f t="shared" ca="1" si="14"/>
        <v>#N/A</v>
      </c>
      <c r="AC52" t="e">
        <f t="shared" ca="1" si="14"/>
        <v>#N/A</v>
      </c>
      <c r="AD52" t="e">
        <f t="shared" ca="1" si="14"/>
        <v>#N/A</v>
      </c>
      <c r="AE52" t="e">
        <f t="shared" ca="1" si="14"/>
        <v>#N/A</v>
      </c>
      <c r="AF52" t="e">
        <f t="shared" ca="1" si="14"/>
        <v>#N/A</v>
      </c>
      <c r="AG52" t="e">
        <f t="shared" ca="1" si="14"/>
        <v>#N/A</v>
      </c>
      <c r="AH52" t="e">
        <f t="shared" ca="1" si="14"/>
        <v>#N/A</v>
      </c>
    </row>
    <row r="55" spans="3:34" x14ac:dyDescent="0.2">
      <c r="E55" s="1">
        <f ca="1">E31</f>
        <v>41142</v>
      </c>
      <c r="F55" s="1">
        <f t="shared" ref="F55:AH55" ca="1" si="15">F31</f>
        <v>41143</v>
      </c>
      <c r="G55" s="1">
        <f t="shared" ca="1" si="15"/>
        <v>41144</v>
      </c>
      <c r="H55" s="1">
        <f t="shared" ca="1" si="15"/>
        <v>41145</v>
      </c>
      <c r="I55" s="1">
        <f t="shared" ca="1" si="15"/>
        <v>41146</v>
      </c>
      <c r="J55" s="1">
        <f t="shared" ca="1" si="15"/>
        <v>41147</v>
      </c>
      <c r="K55" s="1">
        <f t="shared" ca="1" si="15"/>
        <v>41148</v>
      </c>
      <c r="L55" s="1">
        <f t="shared" ca="1" si="15"/>
        <v>41149</v>
      </c>
      <c r="M55" s="1">
        <f t="shared" ca="1" si="15"/>
        <v>41150</v>
      </c>
      <c r="N55" s="1">
        <f t="shared" ca="1" si="15"/>
        <v>41151</v>
      </c>
      <c r="O55" s="1">
        <f t="shared" ca="1" si="15"/>
        <v>41152</v>
      </c>
      <c r="P55" s="1">
        <f t="shared" ca="1" si="15"/>
        <v>41153</v>
      </c>
      <c r="Q55" s="1">
        <f t="shared" ca="1" si="15"/>
        <v>41154</v>
      </c>
      <c r="R55" s="1">
        <f t="shared" ca="1" si="15"/>
        <v>41155</v>
      </c>
      <c r="S55" s="1">
        <f t="shared" ca="1" si="15"/>
        <v>41156</v>
      </c>
      <c r="T55" s="1">
        <f t="shared" ca="1" si="15"/>
        <v>41157</v>
      </c>
      <c r="U55" s="1">
        <f t="shared" ca="1" si="15"/>
        <v>41158</v>
      </c>
      <c r="V55" s="1">
        <f t="shared" ca="1" si="15"/>
        <v>41159</v>
      </c>
      <c r="W55" s="1">
        <f t="shared" ca="1" si="15"/>
        <v>41160</v>
      </c>
      <c r="X55" s="1">
        <f t="shared" ca="1" si="15"/>
        <v>41161</v>
      </c>
      <c r="Y55" s="1">
        <f t="shared" ca="1" si="15"/>
        <v>41162</v>
      </c>
      <c r="Z55" s="1">
        <f t="shared" ca="1" si="15"/>
        <v>41163</v>
      </c>
      <c r="AA55" s="1">
        <f t="shared" ca="1" si="15"/>
        <v>41164</v>
      </c>
      <c r="AB55" s="1">
        <f t="shared" ca="1" si="15"/>
        <v>41165</v>
      </c>
      <c r="AC55" s="1">
        <f t="shared" ca="1" si="15"/>
        <v>41166</v>
      </c>
      <c r="AD55" s="1">
        <f t="shared" ca="1" si="15"/>
        <v>41167</v>
      </c>
      <c r="AE55" s="1">
        <f t="shared" ca="1" si="15"/>
        <v>41168</v>
      </c>
      <c r="AF55" s="1">
        <f t="shared" ca="1" si="15"/>
        <v>41169</v>
      </c>
      <c r="AG55" s="1">
        <f t="shared" ca="1" si="15"/>
        <v>41170</v>
      </c>
      <c r="AH55" s="1">
        <f t="shared" ca="1" si="15"/>
        <v>41171</v>
      </c>
    </row>
    <row r="56" spans="3:34" x14ac:dyDescent="0.2">
      <c r="D56" t="s">
        <v>5</v>
      </c>
      <c r="E56" t="e">
        <f t="shared" ref="E56:AH56" ca="1" si="16">IF(E55=$D$3,5,NA())</f>
        <v>#N/A</v>
      </c>
      <c r="F56" t="e">
        <f t="shared" ca="1" si="16"/>
        <v>#N/A</v>
      </c>
      <c r="G56" t="e">
        <f t="shared" ca="1" si="16"/>
        <v>#N/A</v>
      </c>
      <c r="H56">
        <f t="shared" ca="1" si="16"/>
        <v>5</v>
      </c>
      <c r="I56" t="e">
        <f t="shared" ca="1" si="16"/>
        <v>#N/A</v>
      </c>
      <c r="J56" t="e">
        <f t="shared" ca="1" si="16"/>
        <v>#N/A</v>
      </c>
      <c r="K56" t="e">
        <f t="shared" ca="1" si="16"/>
        <v>#N/A</v>
      </c>
      <c r="L56" t="e">
        <f t="shared" ca="1" si="16"/>
        <v>#N/A</v>
      </c>
      <c r="M56" t="e">
        <f t="shared" ca="1" si="16"/>
        <v>#N/A</v>
      </c>
      <c r="N56" t="e">
        <f t="shared" ca="1" si="16"/>
        <v>#N/A</v>
      </c>
      <c r="O56" t="e">
        <f t="shared" ca="1" si="16"/>
        <v>#N/A</v>
      </c>
      <c r="P56" t="e">
        <f t="shared" ca="1" si="16"/>
        <v>#N/A</v>
      </c>
      <c r="Q56" t="e">
        <f t="shared" ca="1" si="16"/>
        <v>#N/A</v>
      </c>
      <c r="R56" t="e">
        <f t="shared" ca="1" si="16"/>
        <v>#N/A</v>
      </c>
      <c r="S56" t="e">
        <f t="shared" ca="1" si="16"/>
        <v>#N/A</v>
      </c>
      <c r="T56" t="e">
        <f t="shared" ca="1" si="16"/>
        <v>#N/A</v>
      </c>
      <c r="U56" t="e">
        <f t="shared" ca="1" si="16"/>
        <v>#N/A</v>
      </c>
      <c r="V56" t="e">
        <f t="shared" ca="1" si="16"/>
        <v>#N/A</v>
      </c>
      <c r="W56" t="e">
        <f t="shared" ca="1" si="16"/>
        <v>#N/A</v>
      </c>
      <c r="X56" t="e">
        <f t="shared" ca="1" si="16"/>
        <v>#N/A</v>
      </c>
      <c r="Y56" t="e">
        <f t="shared" ca="1" si="16"/>
        <v>#N/A</v>
      </c>
      <c r="Z56" t="e">
        <f t="shared" ca="1" si="16"/>
        <v>#N/A</v>
      </c>
      <c r="AA56" t="e">
        <f t="shared" ca="1" si="16"/>
        <v>#N/A</v>
      </c>
      <c r="AB56" t="e">
        <f t="shared" ca="1" si="16"/>
        <v>#N/A</v>
      </c>
      <c r="AC56" t="e">
        <f t="shared" ca="1" si="16"/>
        <v>#N/A</v>
      </c>
      <c r="AD56" t="e">
        <f t="shared" ca="1" si="16"/>
        <v>#N/A</v>
      </c>
      <c r="AE56" t="e">
        <f t="shared" ca="1" si="16"/>
        <v>#N/A</v>
      </c>
      <c r="AF56" t="e">
        <f t="shared" ca="1" si="16"/>
        <v>#N/A</v>
      </c>
      <c r="AG56" t="e">
        <f t="shared" ca="1" si="16"/>
        <v>#N/A</v>
      </c>
      <c r="AH56" t="e">
        <f t="shared" ca="1" si="16"/>
        <v>#N/A</v>
      </c>
    </row>
    <row r="58" spans="3:34" x14ac:dyDescent="0.2">
      <c r="D58" s="3">
        <f ca="1">DATE(YEAR(MIN(E55:AH55)),MONTH(MIN(E55:AH55)),1)</f>
        <v>41122</v>
      </c>
      <c r="E58">
        <f ca="1">IF(MEDIAN($D58,E$55,EOMONTH($D58,0))=E$55,0.5,NA())</f>
        <v>0.5</v>
      </c>
      <c r="F58">
        <f t="shared" ref="F58:AH58" ca="1" si="17">IF(MEDIAN($D58,F$55,EOMONTH($D58,0))=F$55,0.5,NA())</f>
        <v>0.5</v>
      </c>
      <c r="G58">
        <f t="shared" ca="1" si="17"/>
        <v>0.5</v>
      </c>
      <c r="H58">
        <f t="shared" ca="1" si="17"/>
        <v>0.5</v>
      </c>
      <c r="I58">
        <f t="shared" ca="1" si="17"/>
        <v>0.5</v>
      </c>
      <c r="J58">
        <f t="shared" ca="1" si="17"/>
        <v>0.5</v>
      </c>
      <c r="K58">
        <f t="shared" ca="1" si="17"/>
        <v>0.5</v>
      </c>
      <c r="L58">
        <f t="shared" ca="1" si="17"/>
        <v>0.5</v>
      </c>
      <c r="M58">
        <f t="shared" ca="1" si="17"/>
        <v>0.5</v>
      </c>
      <c r="N58">
        <f t="shared" ca="1" si="17"/>
        <v>0.5</v>
      </c>
      <c r="O58">
        <f t="shared" ca="1" si="17"/>
        <v>0.5</v>
      </c>
      <c r="P58" t="e">
        <f t="shared" ca="1" si="17"/>
        <v>#N/A</v>
      </c>
      <c r="Q58" t="e">
        <f t="shared" ca="1" si="17"/>
        <v>#N/A</v>
      </c>
      <c r="R58" t="e">
        <f t="shared" ca="1" si="17"/>
        <v>#N/A</v>
      </c>
      <c r="S58" t="e">
        <f t="shared" ca="1" si="17"/>
        <v>#N/A</v>
      </c>
      <c r="T58" t="e">
        <f t="shared" ca="1" si="17"/>
        <v>#N/A</v>
      </c>
      <c r="U58" t="e">
        <f t="shared" ca="1" si="17"/>
        <v>#N/A</v>
      </c>
      <c r="V58" t="e">
        <f t="shared" ca="1" si="17"/>
        <v>#N/A</v>
      </c>
      <c r="W58" t="e">
        <f t="shared" ca="1" si="17"/>
        <v>#N/A</v>
      </c>
      <c r="X58" t="e">
        <f t="shared" ca="1" si="17"/>
        <v>#N/A</v>
      </c>
      <c r="Y58" t="e">
        <f t="shared" ca="1" si="17"/>
        <v>#N/A</v>
      </c>
      <c r="Z58" t="e">
        <f t="shared" ca="1" si="17"/>
        <v>#N/A</v>
      </c>
      <c r="AA58" t="e">
        <f t="shared" ca="1" si="17"/>
        <v>#N/A</v>
      </c>
      <c r="AB58" t="e">
        <f t="shared" ca="1" si="17"/>
        <v>#N/A</v>
      </c>
      <c r="AC58" t="e">
        <f t="shared" ca="1" si="17"/>
        <v>#N/A</v>
      </c>
      <c r="AD58" t="e">
        <f t="shared" ca="1" si="17"/>
        <v>#N/A</v>
      </c>
      <c r="AE58" t="e">
        <f t="shared" ca="1" si="17"/>
        <v>#N/A</v>
      </c>
      <c r="AF58" t="e">
        <f t="shared" ca="1" si="17"/>
        <v>#N/A</v>
      </c>
      <c r="AG58" t="e">
        <f t="shared" ca="1" si="17"/>
        <v>#N/A</v>
      </c>
      <c r="AH58" t="e">
        <f t="shared" ca="1" si="17"/>
        <v>#N/A</v>
      </c>
    </row>
    <row r="59" spans="3:34" x14ac:dyDescent="0.2">
      <c r="D59" s="3" t="str">
        <f ca="1">TEXT(D58,"mmm aaaa") &amp; " -Bande supérieure"</f>
        <v>août 2012 -Bande supérieure</v>
      </c>
      <c r="E59">
        <f ca="1">E58+12.5</f>
        <v>13</v>
      </c>
      <c r="F59">
        <f t="shared" ref="F59:AH59" ca="1" si="18">F58+12.5</f>
        <v>13</v>
      </c>
      <c r="G59">
        <f t="shared" ca="1" si="18"/>
        <v>13</v>
      </c>
      <c r="H59">
        <f t="shared" ca="1" si="18"/>
        <v>13</v>
      </c>
      <c r="I59">
        <f t="shared" ca="1" si="18"/>
        <v>13</v>
      </c>
      <c r="J59">
        <f t="shared" ca="1" si="18"/>
        <v>13</v>
      </c>
      <c r="K59">
        <f t="shared" ca="1" si="18"/>
        <v>13</v>
      </c>
      <c r="L59">
        <f t="shared" ca="1" si="18"/>
        <v>13</v>
      </c>
      <c r="M59">
        <f t="shared" ca="1" si="18"/>
        <v>13</v>
      </c>
      <c r="N59">
        <f t="shared" ca="1" si="18"/>
        <v>13</v>
      </c>
      <c r="O59">
        <f t="shared" ca="1" si="18"/>
        <v>13</v>
      </c>
      <c r="P59" t="e">
        <f t="shared" ca="1" si="18"/>
        <v>#N/A</v>
      </c>
      <c r="Q59" t="e">
        <f t="shared" ca="1" si="18"/>
        <v>#N/A</v>
      </c>
      <c r="R59" t="e">
        <f t="shared" ca="1" si="18"/>
        <v>#N/A</v>
      </c>
      <c r="S59" t="e">
        <f t="shared" ca="1" si="18"/>
        <v>#N/A</v>
      </c>
      <c r="T59" t="e">
        <f t="shared" ca="1" si="18"/>
        <v>#N/A</v>
      </c>
      <c r="U59" t="e">
        <f t="shared" ca="1" si="18"/>
        <v>#N/A</v>
      </c>
      <c r="V59" t="e">
        <f t="shared" ca="1" si="18"/>
        <v>#N/A</v>
      </c>
      <c r="W59" t="e">
        <f t="shared" ca="1" si="18"/>
        <v>#N/A</v>
      </c>
      <c r="X59" t="e">
        <f t="shared" ca="1" si="18"/>
        <v>#N/A</v>
      </c>
      <c r="Y59" t="e">
        <f t="shared" ca="1" si="18"/>
        <v>#N/A</v>
      </c>
      <c r="Z59" t="e">
        <f t="shared" ca="1" si="18"/>
        <v>#N/A</v>
      </c>
      <c r="AA59" t="e">
        <f t="shared" ca="1" si="18"/>
        <v>#N/A</v>
      </c>
      <c r="AB59" t="e">
        <f t="shared" ca="1" si="18"/>
        <v>#N/A</v>
      </c>
      <c r="AC59" t="e">
        <f t="shared" ca="1" si="18"/>
        <v>#N/A</v>
      </c>
      <c r="AD59" t="e">
        <f t="shared" ca="1" si="18"/>
        <v>#N/A</v>
      </c>
      <c r="AE59" t="e">
        <f t="shared" ca="1" si="18"/>
        <v>#N/A</v>
      </c>
      <c r="AF59" t="e">
        <f t="shared" ca="1" si="18"/>
        <v>#N/A</v>
      </c>
      <c r="AG59" t="e">
        <f t="shared" ca="1" si="18"/>
        <v>#N/A</v>
      </c>
      <c r="AH59" t="e">
        <f t="shared" ca="1" si="18"/>
        <v>#N/A</v>
      </c>
    </row>
    <row r="60" spans="3:34" x14ac:dyDescent="0.2">
      <c r="D60" s="3"/>
    </row>
    <row r="61" spans="3:34" x14ac:dyDescent="0.2">
      <c r="D61" s="3">
        <f ca="1">EOMONTH(D58,0)+1</f>
        <v>41153</v>
      </c>
      <c r="E61" t="e">
        <f ca="1">IF(MEDIAN($D61,E$55,EOMONTH($D61,0))=E$55,0.5,NA())</f>
        <v>#N/A</v>
      </c>
      <c r="F61" t="e">
        <f t="shared" ref="F61:AH61" ca="1" si="19">IF(MEDIAN($D61,F$55,EOMONTH($D61,0))=F$55,0.5,NA())</f>
        <v>#N/A</v>
      </c>
      <c r="G61" t="e">
        <f t="shared" ca="1" si="19"/>
        <v>#N/A</v>
      </c>
      <c r="H61" t="e">
        <f t="shared" ca="1" si="19"/>
        <v>#N/A</v>
      </c>
      <c r="I61" t="e">
        <f t="shared" ca="1" si="19"/>
        <v>#N/A</v>
      </c>
      <c r="J61" t="e">
        <f t="shared" ca="1" si="19"/>
        <v>#N/A</v>
      </c>
      <c r="K61" t="e">
        <f t="shared" ca="1" si="19"/>
        <v>#N/A</v>
      </c>
      <c r="L61" t="e">
        <f t="shared" ca="1" si="19"/>
        <v>#N/A</v>
      </c>
      <c r="M61" t="e">
        <f t="shared" ca="1" si="19"/>
        <v>#N/A</v>
      </c>
      <c r="N61" t="e">
        <f t="shared" ca="1" si="19"/>
        <v>#N/A</v>
      </c>
      <c r="O61" t="e">
        <f t="shared" ca="1" si="19"/>
        <v>#N/A</v>
      </c>
      <c r="P61">
        <f t="shared" ca="1" si="19"/>
        <v>0.5</v>
      </c>
      <c r="Q61">
        <f t="shared" ca="1" si="19"/>
        <v>0.5</v>
      </c>
      <c r="R61">
        <f t="shared" ca="1" si="19"/>
        <v>0.5</v>
      </c>
      <c r="S61">
        <f t="shared" ca="1" si="19"/>
        <v>0.5</v>
      </c>
      <c r="T61">
        <f t="shared" ca="1" si="19"/>
        <v>0.5</v>
      </c>
      <c r="U61">
        <f t="shared" ca="1" si="19"/>
        <v>0.5</v>
      </c>
      <c r="V61">
        <f t="shared" ca="1" si="19"/>
        <v>0.5</v>
      </c>
      <c r="W61">
        <f t="shared" ca="1" si="19"/>
        <v>0.5</v>
      </c>
      <c r="X61">
        <f t="shared" ca="1" si="19"/>
        <v>0.5</v>
      </c>
      <c r="Y61">
        <f t="shared" ca="1" si="19"/>
        <v>0.5</v>
      </c>
      <c r="Z61">
        <f t="shared" ca="1" si="19"/>
        <v>0.5</v>
      </c>
      <c r="AA61">
        <f t="shared" ca="1" si="19"/>
        <v>0.5</v>
      </c>
      <c r="AB61">
        <f t="shared" ca="1" si="19"/>
        <v>0.5</v>
      </c>
      <c r="AC61">
        <f t="shared" ca="1" si="19"/>
        <v>0.5</v>
      </c>
      <c r="AD61">
        <f t="shared" ca="1" si="19"/>
        <v>0.5</v>
      </c>
      <c r="AE61">
        <f t="shared" ca="1" si="19"/>
        <v>0.5</v>
      </c>
      <c r="AF61">
        <f t="shared" ca="1" si="19"/>
        <v>0.5</v>
      </c>
      <c r="AG61">
        <f t="shared" ca="1" si="19"/>
        <v>0.5</v>
      </c>
      <c r="AH61">
        <f t="shared" ca="1" si="19"/>
        <v>0.5</v>
      </c>
    </row>
    <row r="62" spans="3:34" x14ac:dyDescent="0.2">
      <c r="D62" s="3" t="str">
        <f ca="1">TEXT(D61,"mmm aaaa") &amp; " -Bande supérieure"</f>
        <v>sept 2012 -Bande supérieure</v>
      </c>
      <c r="E62" t="e">
        <f ca="1">E61+12.5</f>
        <v>#N/A</v>
      </c>
      <c r="F62" t="e">
        <f t="shared" ref="F62:AH62" ca="1" si="20">F61+12.5</f>
        <v>#N/A</v>
      </c>
      <c r="G62" t="e">
        <f t="shared" ca="1" si="20"/>
        <v>#N/A</v>
      </c>
      <c r="H62" t="e">
        <f t="shared" ca="1" si="20"/>
        <v>#N/A</v>
      </c>
      <c r="I62" t="e">
        <f t="shared" ca="1" si="20"/>
        <v>#N/A</v>
      </c>
      <c r="J62" t="e">
        <f t="shared" ca="1" si="20"/>
        <v>#N/A</v>
      </c>
      <c r="K62" t="e">
        <f t="shared" ca="1" si="20"/>
        <v>#N/A</v>
      </c>
      <c r="L62" t="e">
        <f t="shared" ca="1" si="20"/>
        <v>#N/A</v>
      </c>
      <c r="M62" t="e">
        <f t="shared" ca="1" si="20"/>
        <v>#N/A</v>
      </c>
      <c r="N62" t="e">
        <f t="shared" ca="1" si="20"/>
        <v>#N/A</v>
      </c>
      <c r="O62" t="e">
        <f t="shared" ca="1" si="20"/>
        <v>#N/A</v>
      </c>
      <c r="P62">
        <f t="shared" ca="1" si="20"/>
        <v>13</v>
      </c>
      <c r="Q62">
        <f t="shared" ca="1" si="20"/>
        <v>13</v>
      </c>
      <c r="R62">
        <f t="shared" ca="1" si="20"/>
        <v>13</v>
      </c>
      <c r="S62">
        <f t="shared" ca="1" si="20"/>
        <v>13</v>
      </c>
      <c r="T62">
        <f t="shared" ca="1" si="20"/>
        <v>13</v>
      </c>
      <c r="U62">
        <f t="shared" ca="1" si="20"/>
        <v>13</v>
      </c>
      <c r="V62">
        <f t="shared" ca="1" si="20"/>
        <v>13</v>
      </c>
      <c r="W62">
        <f t="shared" ca="1" si="20"/>
        <v>13</v>
      </c>
      <c r="X62">
        <f t="shared" ca="1" si="20"/>
        <v>13</v>
      </c>
      <c r="Y62">
        <f t="shared" ca="1" si="20"/>
        <v>13</v>
      </c>
      <c r="Z62">
        <f t="shared" ca="1" si="20"/>
        <v>13</v>
      </c>
      <c r="AA62">
        <f t="shared" ca="1" si="20"/>
        <v>13</v>
      </c>
      <c r="AB62">
        <f t="shared" ca="1" si="20"/>
        <v>13</v>
      </c>
      <c r="AC62">
        <f t="shared" ca="1" si="20"/>
        <v>13</v>
      </c>
      <c r="AD62">
        <f t="shared" ca="1" si="20"/>
        <v>13</v>
      </c>
      <c r="AE62">
        <f t="shared" ca="1" si="20"/>
        <v>13</v>
      </c>
      <c r="AF62">
        <f t="shared" ca="1" si="20"/>
        <v>13</v>
      </c>
      <c r="AG62">
        <f t="shared" ca="1" si="20"/>
        <v>13</v>
      </c>
      <c r="AH62">
        <f t="shared" ca="1" si="20"/>
        <v>13</v>
      </c>
    </row>
    <row r="63" spans="3:34" x14ac:dyDescent="0.2">
      <c r="D63" s="3"/>
    </row>
    <row r="65" spans="4:34" x14ac:dyDescent="0.2">
      <c r="D65" s="3">
        <f ca="1">D58+1</f>
        <v>41123</v>
      </c>
      <c r="E65" t="e">
        <f ca="1">IF(MEDIAN($D65,E$55)=E$55,0.5,NA())</f>
        <v>#N/A</v>
      </c>
      <c r="F65" t="e">
        <f t="shared" ref="F65:AH66" ca="1" si="21">IF(MEDIAN($D65,F$55)=F$55,0.5,NA())</f>
        <v>#N/A</v>
      </c>
      <c r="G65" t="e">
        <f t="shared" ca="1" si="21"/>
        <v>#N/A</v>
      </c>
      <c r="H65" t="e">
        <f t="shared" ca="1" si="21"/>
        <v>#N/A</v>
      </c>
      <c r="I65" t="e">
        <f t="shared" ca="1" si="21"/>
        <v>#N/A</v>
      </c>
      <c r="J65" t="e">
        <f t="shared" ca="1" si="21"/>
        <v>#N/A</v>
      </c>
      <c r="K65" t="e">
        <f t="shared" ca="1" si="21"/>
        <v>#N/A</v>
      </c>
      <c r="L65" t="e">
        <f t="shared" ca="1" si="21"/>
        <v>#N/A</v>
      </c>
      <c r="M65" t="e">
        <f t="shared" ca="1" si="21"/>
        <v>#N/A</v>
      </c>
      <c r="N65" t="e">
        <f t="shared" ca="1" si="21"/>
        <v>#N/A</v>
      </c>
      <c r="O65" t="e">
        <f t="shared" ca="1" si="21"/>
        <v>#N/A</v>
      </c>
      <c r="P65" t="e">
        <f t="shared" ca="1" si="21"/>
        <v>#N/A</v>
      </c>
      <c r="Q65" t="e">
        <f t="shared" ca="1" si="21"/>
        <v>#N/A</v>
      </c>
      <c r="R65" t="e">
        <f t="shared" ca="1" si="21"/>
        <v>#N/A</v>
      </c>
      <c r="S65" t="e">
        <f t="shared" ca="1" si="21"/>
        <v>#N/A</v>
      </c>
      <c r="T65" t="e">
        <f t="shared" ca="1" si="21"/>
        <v>#N/A</v>
      </c>
      <c r="U65" t="e">
        <f t="shared" ca="1" si="21"/>
        <v>#N/A</v>
      </c>
      <c r="V65" t="e">
        <f t="shared" ca="1" si="21"/>
        <v>#N/A</v>
      </c>
      <c r="W65" t="e">
        <f t="shared" ca="1" si="21"/>
        <v>#N/A</v>
      </c>
      <c r="X65" t="e">
        <f t="shared" ca="1" si="21"/>
        <v>#N/A</v>
      </c>
      <c r="Y65" t="e">
        <f t="shared" ca="1" si="21"/>
        <v>#N/A</v>
      </c>
      <c r="Z65" t="e">
        <f t="shared" ca="1" si="21"/>
        <v>#N/A</v>
      </c>
      <c r="AA65" t="e">
        <f t="shared" ca="1" si="21"/>
        <v>#N/A</v>
      </c>
      <c r="AB65" t="e">
        <f t="shared" ca="1" si="21"/>
        <v>#N/A</v>
      </c>
      <c r="AC65" t="e">
        <f t="shared" ca="1" si="21"/>
        <v>#N/A</v>
      </c>
      <c r="AD65" t="e">
        <f t="shared" ca="1" si="21"/>
        <v>#N/A</v>
      </c>
      <c r="AE65" t="e">
        <f t="shared" ca="1" si="21"/>
        <v>#N/A</v>
      </c>
      <c r="AF65" t="e">
        <f t="shared" ca="1" si="21"/>
        <v>#N/A</v>
      </c>
      <c r="AG65" t="e">
        <f t="shared" ca="1" si="21"/>
        <v>#N/A</v>
      </c>
      <c r="AH65" t="e">
        <f t="shared" ca="1" si="21"/>
        <v>#N/A</v>
      </c>
    </row>
    <row r="66" spans="4:34" x14ac:dyDescent="0.2">
      <c r="D66" s="3">
        <f ca="1">D61+1</f>
        <v>41154</v>
      </c>
      <c r="E66" t="e">
        <f ca="1">IF(MEDIAN($D66,E$55)=E$55,0.5,NA())</f>
        <v>#N/A</v>
      </c>
      <c r="F66" t="e">
        <f t="shared" ca="1" si="21"/>
        <v>#N/A</v>
      </c>
      <c r="G66" t="e">
        <f t="shared" ca="1" si="21"/>
        <v>#N/A</v>
      </c>
      <c r="H66" t="e">
        <f t="shared" ca="1" si="21"/>
        <v>#N/A</v>
      </c>
      <c r="I66" t="e">
        <f t="shared" ca="1" si="21"/>
        <v>#N/A</v>
      </c>
      <c r="J66" t="e">
        <f t="shared" ca="1" si="21"/>
        <v>#N/A</v>
      </c>
      <c r="K66" t="e">
        <f t="shared" ca="1" si="21"/>
        <v>#N/A</v>
      </c>
      <c r="L66" t="e">
        <f t="shared" ca="1" si="21"/>
        <v>#N/A</v>
      </c>
      <c r="M66" t="e">
        <f t="shared" ca="1" si="21"/>
        <v>#N/A</v>
      </c>
      <c r="N66" t="e">
        <f t="shared" ca="1" si="21"/>
        <v>#N/A</v>
      </c>
      <c r="O66" t="e">
        <f t="shared" ca="1" si="21"/>
        <v>#N/A</v>
      </c>
      <c r="P66" t="e">
        <f t="shared" ca="1" si="21"/>
        <v>#N/A</v>
      </c>
      <c r="Q66">
        <f t="shared" ca="1" si="21"/>
        <v>0.5</v>
      </c>
      <c r="R66" t="e">
        <f t="shared" ca="1" si="21"/>
        <v>#N/A</v>
      </c>
      <c r="S66" t="e">
        <f t="shared" ca="1" si="21"/>
        <v>#N/A</v>
      </c>
      <c r="T66" t="e">
        <f t="shared" ca="1" si="21"/>
        <v>#N/A</v>
      </c>
      <c r="U66" t="e">
        <f t="shared" ca="1" si="21"/>
        <v>#N/A</v>
      </c>
      <c r="V66" t="e">
        <f t="shared" ca="1" si="21"/>
        <v>#N/A</v>
      </c>
      <c r="W66" t="e">
        <f t="shared" ca="1" si="21"/>
        <v>#N/A</v>
      </c>
      <c r="X66" t="e">
        <f t="shared" ca="1" si="21"/>
        <v>#N/A</v>
      </c>
      <c r="Y66" t="e">
        <f t="shared" ca="1" si="21"/>
        <v>#N/A</v>
      </c>
      <c r="Z66" t="e">
        <f t="shared" ca="1" si="21"/>
        <v>#N/A</v>
      </c>
      <c r="AA66" t="e">
        <f t="shared" ca="1" si="21"/>
        <v>#N/A</v>
      </c>
      <c r="AB66" t="e">
        <f t="shared" ca="1" si="21"/>
        <v>#N/A</v>
      </c>
      <c r="AC66" t="e">
        <f t="shared" ca="1" si="21"/>
        <v>#N/A</v>
      </c>
      <c r="AD66" t="e">
        <f t="shared" ca="1" si="21"/>
        <v>#N/A</v>
      </c>
      <c r="AE66" t="e">
        <f t="shared" ca="1" si="21"/>
        <v>#N/A</v>
      </c>
      <c r="AF66" t="e">
        <f t="shared" ca="1" si="21"/>
        <v>#N/A</v>
      </c>
      <c r="AG66" t="e">
        <f t="shared" ca="1" si="21"/>
        <v>#N/A</v>
      </c>
      <c r="AH66" t="e">
        <f t="shared" ca="1" si="21"/>
        <v>#N/A</v>
      </c>
    </row>
    <row r="69" spans="4:34" x14ac:dyDescent="0.2">
      <c r="E69">
        <v>2.2999999999999998</v>
      </c>
      <c r="F69">
        <f>E69</f>
        <v>2.2999999999999998</v>
      </c>
      <c r="G69">
        <f t="shared" ref="G69:AH71" si="22">F69</f>
        <v>2.2999999999999998</v>
      </c>
      <c r="H69">
        <f t="shared" si="22"/>
        <v>2.2999999999999998</v>
      </c>
      <c r="I69">
        <f t="shared" si="22"/>
        <v>2.2999999999999998</v>
      </c>
      <c r="J69">
        <f t="shared" si="22"/>
        <v>2.2999999999999998</v>
      </c>
      <c r="K69">
        <f t="shared" si="22"/>
        <v>2.2999999999999998</v>
      </c>
      <c r="L69">
        <f t="shared" si="22"/>
        <v>2.2999999999999998</v>
      </c>
      <c r="M69">
        <f t="shared" si="22"/>
        <v>2.2999999999999998</v>
      </c>
      <c r="N69">
        <f t="shared" si="22"/>
        <v>2.2999999999999998</v>
      </c>
      <c r="O69">
        <f t="shared" si="22"/>
        <v>2.2999999999999998</v>
      </c>
      <c r="P69">
        <f t="shared" si="22"/>
        <v>2.2999999999999998</v>
      </c>
      <c r="Q69">
        <f t="shared" si="22"/>
        <v>2.2999999999999998</v>
      </c>
      <c r="R69">
        <f t="shared" si="22"/>
        <v>2.2999999999999998</v>
      </c>
      <c r="S69">
        <f t="shared" si="22"/>
        <v>2.2999999999999998</v>
      </c>
      <c r="T69">
        <f t="shared" si="22"/>
        <v>2.2999999999999998</v>
      </c>
      <c r="U69">
        <f t="shared" si="22"/>
        <v>2.2999999999999998</v>
      </c>
      <c r="V69">
        <f t="shared" si="22"/>
        <v>2.2999999999999998</v>
      </c>
      <c r="W69">
        <f t="shared" si="22"/>
        <v>2.2999999999999998</v>
      </c>
      <c r="X69">
        <f t="shared" si="22"/>
        <v>2.2999999999999998</v>
      </c>
      <c r="Y69">
        <f t="shared" si="22"/>
        <v>2.2999999999999998</v>
      </c>
      <c r="Z69">
        <f t="shared" si="22"/>
        <v>2.2999999999999998</v>
      </c>
      <c r="AA69">
        <f t="shared" si="22"/>
        <v>2.2999999999999998</v>
      </c>
      <c r="AB69">
        <f t="shared" si="22"/>
        <v>2.2999999999999998</v>
      </c>
      <c r="AC69">
        <f t="shared" si="22"/>
        <v>2.2999999999999998</v>
      </c>
      <c r="AD69">
        <f t="shared" si="22"/>
        <v>2.2999999999999998</v>
      </c>
      <c r="AE69">
        <f t="shared" si="22"/>
        <v>2.2999999999999998</v>
      </c>
      <c r="AF69">
        <f t="shared" si="22"/>
        <v>2.2999999999999998</v>
      </c>
      <c r="AG69">
        <f t="shared" si="22"/>
        <v>2.2999999999999998</v>
      </c>
      <c r="AH69">
        <f t="shared" si="22"/>
        <v>2.2999999999999998</v>
      </c>
    </row>
    <row r="70" spans="4:34" x14ac:dyDescent="0.2">
      <c r="D70">
        <v>3</v>
      </c>
      <c r="E70" t="str">
        <f t="shared" ref="E70:K70" ca="1" si="23">LEFT(UPPER(TEXT(E55,"jjj")),$D70)</f>
        <v>MAR</v>
      </c>
      <c r="F70" t="str">
        <f t="shared" ca="1" si="23"/>
        <v>MER</v>
      </c>
      <c r="G70" t="str">
        <f t="shared" ca="1" si="23"/>
        <v>JEU</v>
      </c>
      <c r="H70" t="str">
        <f t="shared" ca="1" si="23"/>
        <v>VEN</v>
      </c>
      <c r="I70" t="str">
        <f t="shared" ca="1" si="23"/>
        <v>SAM</v>
      </c>
      <c r="J70" t="str">
        <f t="shared" ca="1" si="23"/>
        <v>DIM</v>
      </c>
      <c r="K70" t="str">
        <f t="shared" ca="1" si="23"/>
        <v>LUN</v>
      </c>
      <c r="L70" t="str">
        <f t="shared" ref="L70:AH70" ca="1" si="24">LEFT(UPPER(TEXT(L55,"jjj")),$D70)</f>
        <v>MAR</v>
      </c>
      <c r="M70" t="str">
        <f t="shared" ca="1" si="24"/>
        <v>MER</v>
      </c>
      <c r="N70" t="str">
        <f t="shared" ca="1" si="24"/>
        <v>JEU</v>
      </c>
      <c r="O70" t="str">
        <f t="shared" ca="1" si="24"/>
        <v>VEN</v>
      </c>
      <c r="P70" t="str">
        <f t="shared" ca="1" si="24"/>
        <v>SAM</v>
      </c>
      <c r="Q70" t="str">
        <f t="shared" ca="1" si="24"/>
        <v>DIM</v>
      </c>
      <c r="R70" t="str">
        <f t="shared" ca="1" si="24"/>
        <v>LUN</v>
      </c>
      <c r="S70" t="str">
        <f t="shared" ca="1" si="24"/>
        <v>MAR</v>
      </c>
      <c r="T70" t="str">
        <f t="shared" ca="1" si="24"/>
        <v>MER</v>
      </c>
      <c r="U70" t="str">
        <f t="shared" ca="1" si="24"/>
        <v>JEU</v>
      </c>
      <c r="V70" t="str">
        <f t="shared" ca="1" si="24"/>
        <v>VEN</v>
      </c>
      <c r="W70" t="str">
        <f t="shared" ca="1" si="24"/>
        <v>SAM</v>
      </c>
      <c r="X70" t="str">
        <f t="shared" ca="1" si="24"/>
        <v>DIM</v>
      </c>
      <c r="Y70" t="str">
        <f t="shared" ca="1" si="24"/>
        <v>LUN</v>
      </c>
      <c r="Z70" t="str">
        <f t="shared" ca="1" si="24"/>
        <v>MAR</v>
      </c>
      <c r="AA70" t="str">
        <f t="shared" ca="1" si="24"/>
        <v>MER</v>
      </c>
      <c r="AB70" t="str">
        <f t="shared" ca="1" si="24"/>
        <v>JEU</v>
      </c>
      <c r="AC70" t="str">
        <f t="shared" ca="1" si="24"/>
        <v>VEN</v>
      </c>
      <c r="AD70" t="str">
        <f t="shared" ca="1" si="24"/>
        <v>SAM</v>
      </c>
      <c r="AE70" t="str">
        <f t="shared" ca="1" si="24"/>
        <v>DIM</v>
      </c>
      <c r="AF70" t="str">
        <f t="shared" ca="1" si="24"/>
        <v>LUN</v>
      </c>
      <c r="AG70" t="str">
        <f t="shared" ca="1" si="24"/>
        <v>MAR</v>
      </c>
      <c r="AH70" t="str">
        <f t="shared" ca="1" si="24"/>
        <v>MER</v>
      </c>
    </row>
    <row r="71" spans="4:34" x14ac:dyDescent="0.2">
      <c r="E71">
        <v>1.3</v>
      </c>
      <c r="F71">
        <f>E71</f>
        <v>1.3</v>
      </c>
      <c r="G71">
        <f t="shared" si="22"/>
        <v>1.3</v>
      </c>
      <c r="H71">
        <f t="shared" si="22"/>
        <v>1.3</v>
      </c>
      <c r="I71">
        <f t="shared" si="22"/>
        <v>1.3</v>
      </c>
      <c r="J71">
        <f t="shared" si="22"/>
        <v>1.3</v>
      </c>
      <c r="K71">
        <f t="shared" si="22"/>
        <v>1.3</v>
      </c>
      <c r="L71">
        <f t="shared" si="22"/>
        <v>1.3</v>
      </c>
      <c r="M71">
        <f t="shared" si="22"/>
        <v>1.3</v>
      </c>
      <c r="N71">
        <f t="shared" si="22"/>
        <v>1.3</v>
      </c>
      <c r="O71">
        <f t="shared" si="22"/>
        <v>1.3</v>
      </c>
      <c r="P71">
        <f t="shared" si="22"/>
        <v>1.3</v>
      </c>
      <c r="Q71">
        <f t="shared" si="22"/>
        <v>1.3</v>
      </c>
      <c r="R71">
        <f t="shared" si="22"/>
        <v>1.3</v>
      </c>
      <c r="S71">
        <f t="shared" si="22"/>
        <v>1.3</v>
      </c>
      <c r="T71">
        <f t="shared" si="22"/>
        <v>1.3</v>
      </c>
      <c r="U71">
        <f t="shared" si="22"/>
        <v>1.3</v>
      </c>
      <c r="V71">
        <f t="shared" si="22"/>
        <v>1.3</v>
      </c>
      <c r="W71">
        <f t="shared" si="22"/>
        <v>1.3</v>
      </c>
      <c r="X71">
        <f t="shared" si="22"/>
        <v>1.3</v>
      </c>
      <c r="Y71">
        <f t="shared" si="22"/>
        <v>1.3</v>
      </c>
      <c r="Z71">
        <f t="shared" si="22"/>
        <v>1.3</v>
      </c>
      <c r="AA71">
        <f t="shared" si="22"/>
        <v>1.3</v>
      </c>
      <c r="AB71">
        <f t="shared" si="22"/>
        <v>1.3</v>
      </c>
      <c r="AC71">
        <f t="shared" si="22"/>
        <v>1.3</v>
      </c>
      <c r="AD71">
        <f t="shared" si="22"/>
        <v>1.3</v>
      </c>
      <c r="AE71">
        <f t="shared" si="22"/>
        <v>1.3</v>
      </c>
      <c r="AF71">
        <f t="shared" si="22"/>
        <v>1.3</v>
      </c>
      <c r="AG71">
        <f t="shared" si="22"/>
        <v>1.3</v>
      </c>
      <c r="AH71">
        <f t="shared" si="22"/>
        <v>1.3</v>
      </c>
    </row>
    <row r="72" spans="4:34" x14ac:dyDescent="0.2">
      <c r="E72" t="str">
        <f ca="1">TEXT(E55,"jj")</f>
        <v>21</v>
      </c>
      <c r="F72" t="str">
        <f ca="1">TEXT(F55,"jj")</f>
        <v>22</v>
      </c>
      <c r="G72" t="str">
        <f t="shared" ref="G72:AH72" ca="1" si="25">TEXT(G55,"jj")</f>
        <v>23</v>
      </c>
      <c r="H72" t="str">
        <f t="shared" ca="1" si="25"/>
        <v>24</v>
      </c>
      <c r="I72" t="str">
        <f t="shared" ca="1" si="25"/>
        <v>25</v>
      </c>
      <c r="J72" t="str">
        <f t="shared" ca="1" si="25"/>
        <v>26</v>
      </c>
      <c r="K72" t="str">
        <f t="shared" ca="1" si="25"/>
        <v>27</v>
      </c>
      <c r="L72" t="str">
        <f t="shared" ca="1" si="25"/>
        <v>28</v>
      </c>
      <c r="M72" t="str">
        <f t="shared" ca="1" si="25"/>
        <v>29</v>
      </c>
      <c r="N72" t="str">
        <f t="shared" ca="1" si="25"/>
        <v>30</v>
      </c>
      <c r="O72" t="str">
        <f t="shared" ca="1" si="25"/>
        <v>31</v>
      </c>
      <c r="P72" t="str">
        <f t="shared" ca="1" si="25"/>
        <v>01</v>
      </c>
      <c r="Q72" t="str">
        <f t="shared" ca="1" si="25"/>
        <v>02</v>
      </c>
      <c r="R72" t="str">
        <f t="shared" ca="1" si="25"/>
        <v>03</v>
      </c>
      <c r="S72" t="str">
        <f t="shared" ca="1" si="25"/>
        <v>04</v>
      </c>
      <c r="T72" t="str">
        <f t="shared" ca="1" si="25"/>
        <v>05</v>
      </c>
      <c r="U72" t="str">
        <f t="shared" ca="1" si="25"/>
        <v>06</v>
      </c>
      <c r="V72" t="str">
        <f t="shared" ca="1" si="25"/>
        <v>07</v>
      </c>
      <c r="W72" t="str">
        <f t="shared" ca="1" si="25"/>
        <v>08</v>
      </c>
      <c r="X72" t="str">
        <f t="shared" ca="1" si="25"/>
        <v>09</v>
      </c>
      <c r="Y72" t="str">
        <f t="shared" ca="1" si="25"/>
        <v>10</v>
      </c>
      <c r="Z72" t="str">
        <f ca="1">TEXT(Z55,"jj")</f>
        <v>11</v>
      </c>
      <c r="AA72" t="str">
        <f t="shared" ca="1" si="25"/>
        <v>12</v>
      </c>
      <c r="AB72" t="str">
        <f t="shared" ca="1" si="25"/>
        <v>13</v>
      </c>
      <c r="AC72" t="str">
        <f ca="1">TEXT(AC55,"jj")</f>
        <v>14</v>
      </c>
      <c r="AD72" t="str">
        <f t="shared" ca="1" si="25"/>
        <v>15</v>
      </c>
      <c r="AE72" t="str">
        <f t="shared" ca="1" si="25"/>
        <v>16</v>
      </c>
      <c r="AF72" t="str">
        <f t="shared" ca="1" si="25"/>
        <v>17</v>
      </c>
      <c r="AG72" t="str">
        <f t="shared" ca="1" si="25"/>
        <v>18</v>
      </c>
      <c r="AH72" t="str">
        <f t="shared" ca="1" si="25"/>
        <v>19</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Description xmlns="6d93d202-47fc-4405-873a-cab67cc5f1b2" xsi:nil="true"/>
    <AssetExpire xmlns="6d93d202-47fc-4405-873a-cab67cc5f1b2">2029-01-01T08:00:00+00:00</AssetExpire>
    <CampaignTagsTaxHTField0 xmlns="6d93d202-47fc-4405-873a-cab67cc5f1b2">
      <Terms xmlns="http://schemas.microsoft.com/office/infopath/2007/PartnerControls"/>
    </CampaignTagsTaxHTField0>
    <IntlLangReviewDate xmlns="6d93d202-47fc-4405-873a-cab67cc5f1b2" xsi:nil="true"/>
    <TPFriendlyName xmlns="6d93d202-47fc-4405-873a-cab67cc5f1b2" xsi:nil="true"/>
    <IntlLangReview xmlns="6d93d202-47fc-4405-873a-cab67cc5f1b2">false</IntlLangReview>
    <LocLastLocAttemptVersionLookup xmlns="6d93d202-47fc-4405-873a-cab67cc5f1b2">845883</LocLastLocAttemptVersionLookup>
    <PolicheckWords xmlns="6d93d202-47fc-4405-873a-cab67cc5f1b2" xsi:nil="true"/>
    <SubmitterId xmlns="6d93d202-47fc-4405-873a-cab67cc5f1b2" xsi:nil="true"/>
    <AcquiredFrom xmlns="6d93d202-47fc-4405-873a-cab67cc5f1b2">Internal MS</AcquiredFrom>
    <EditorialStatus xmlns="6d93d202-47fc-4405-873a-cab67cc5f1b2" xsi:nil="true"/>
    <Markets xmlns="6d93d202-47fc-4405-873a-cab67cc5f1b2"/>
    <OriginAsset xmlns="6d93d202-47fc-4405-873a-cab67cc5f1b2" xsi:nil="true"/>
    <AssetStart xmlns="6d93d202-47fc-4405-873a-cab67cc5f1b2">2012-06-28T22:28:09+00:00</AssetStart>
    <FriendlyTitle xmlns="6d93d202-47fc-4405-873a-cab67cc5f1b2" xsi:nil="true"/>
    <MarketSpecific xmlns="6d93d202-47fc-4405-873a-cab67cc5f1b2">false</MarketSpecific>
    <TPNamespace xmlns="6d93d202-47fc-4405-873a-cab67cc5f1b2" xsi:nil="true"/>
    <PublishStatusLookup xmlns="6d93d202-47fc-4405-873a-cab67cc5f1b2">
      <Value>494452</Value>
    </PublishStatusLookup>
    <APAuthor xmlns="6d93d202-47fc-4405-873a-cab67cc5f1b2">
      <UserInfo>
        <DisplayName/>
        <AccountId>2566</AccountId>
        <AccountType/>
      </UserInfo>
    </APAuthor>
    <TPCommandLine xmlns="6d93d202-47fc-4405-873a-cab67cc5f1b2" xsi:nil="true"/>
    <IntlLangReviewer xmlns="6d93d202-47fc-4405-873a-cab67cc5f1b2" xsi:nil="true"/>
    <OpenTemplate xmlns="6d93d202-47fc-4405-873a-cab67cc5f1b2">true</OpenTemplate>
    <CSXSubmissionDate xmlns="6d93d202-47fc-4405-873a-cab67cc5f1b2" xsi:nil="true"/>
    <TaxCatchAll xmlns="6d93d202-47fc-4405-873a-cab67cc5f1b2"/>
    <Manager xmlns="6d93d202-47fc-4405-873a-cab67cc5f1b2" xsi:nil="true"/>
    <NumericId xmlns="6d93d202-47fc-4405-873a-cab67cc5f1b2" xsi:nil="true"/>
    <ParentAssetId xmlns="6d93d202-47fc-4405-873a-cab67cc5f1b2" xsi:nil="true"/>
    <OriginalSourceMarket xmlns="6d93d202-47fc-4405-873a-cab67cc5f1b2">english</OriginalSourceMarket>
    <ApprovalStatus xmlns="6d93d202-47fc-4405-873a-cab67cc5f1b2">InProgress</ApprovalStatus>
    <TPComponent xmlns="6d93d202-47fc-4405-873a-cab67cc5f1b2" xsi:nil="true"/>
    <EditorialTags xmlns="6d93d202-47fc-4405-873a-cab67cc5f1b2" xsi:nil="true"/>
    <TPExecutable xmlns="6d93d202-47fc-4405-873a-cab67cc5f1b2" xsi:nil="true"/>
    <TPLaunchHelpLink xmlns="6d93d202-47fc-4405-873a-cab67cc5f1b2" xsi:nil="true"/>
    <LocComments xmlns="6d93d202-47fc-4405-873a-cab67cc5f1b2" xsi:nil="true"/>
    <LocRecommendedHandoff xmlns="6d93d202-47fc-4405-873a-cab67cc5f1b2" xsi:nil="true"/>
    <SourceTitle xmlns="6d93d202-47fc-4405-873a-cab67cc5f1b2" xsi:nil="true"/>
    <CSXUpdate xmlns="6d93d202-47fc-4405-873a-cab67cc5f1b2">false</CSXUpdate>
    <IntlLocPriority xmlns="6d93d202-47fc-4405-873a-cab67cc5f1b2" xsi:nil="true"/>
    <UAProjectedTotalWords xmlns="6d93d202-47fc-4405-873a-cab67cc5f1b2" xsi:nil="true"/>
    <AssetType xmlns="6d93d202-47fc-4405-873a-cab67cc5f1b2" xsi:nil="true"/>
    <MachineTranslated xmlns="6d93d202-47fc-4405-873a-cab67cc5f1b2">false</MachineTranslated>
    <OutputCachingOn xmlns="6d93d202-47fc-4405-873a-cab67cc5f1b2">false</OutputCachingOn>
    <TemplateStatus xmlns="6d93d202-47fc-4405-873a-cab67cc5f1b2">Complete</TemplateStatus>
    <IsSearchable xmlns="6d93d202-47fc-4405-873a-cab67cc5f1b2">false</IsSearchable>
    <ContentItem xmlns="6d93d202-47fc-4405-873a-cab67cc5f1b2" xsi:nil="true"/>
    <HandoffToMSDN xmlns="6d93d202-47fc-4405-873a-cab67cc5f1b2" xsi:nil="true"/>
    <ShowIn xmlns="6d93d202-47fc-4405-873a-cab67cc5f1b2">Show everywhere</ShowIn>
    <ThumbnailAssetId xmlns="6d93d202-47fc-4405-873a-cab67cc5f1b2" xsi:nil="true"/>
    <UALocComments xmlns="6d93d202-47fc-4405-873a-cab67cc5f1b2" xsi:nil="true"/>
    <UALocRecommendation xmlns="6d93d202-47fc-4405-873a-cab67cc5f1b2">Localize</UALocRecommendation>
    <LastModifiedDateTime xmlns="6d93d202-47fc-4405-873a-cab67cc5f1b2" xsi:nil="true"/>
    <LegacyData xmlns="6d93d202-47fc-4405-873a-cab67cc5f1b2" xsi:nil="true"/>
    <LocManualTestRequired xmlns="6d93d202-47fc-4405-873a-cab67cc5f1b2">false</LocManualTestRequired>
    <LocMarketGroupTiers2 xmlns="6d93d202-47fc-4405-873a-cab67cc5f1b2" xsi:nil="true"/>
    <ClipArtFilename xmlns="6d93d202-47fc-4405-873a-cab67cc5f1b2" xsi:nil="true"/>
    <TPApplication xmlns="6d93d202-47fc-4405-873a-cab67cc5f1b2" xsi:nil="true"/>
    <CSXHash xmlns="6d93d202-47fc-4405-873a-cab67cc5f1b2" xsi:nil="true"/>
    <DirectSourceMarket xmlns="6d93d202-47fc-4405-873a-cab67cc5f1b2">english</DirectSourceMarket>
    <PrimaryImageGen xmlns="6d93d202-47fc-4405-873a-cab67cc5f1b2">false</PrimaryImageGen>
    <PlannedPubDate xmlns="6d93d202-47fc-4405-873a-cab67cc5f1b2" xsi:nil="true"/>
    <CSXSubmissionMarket xmlns="6d93d202-47fc-4405-873a-cab67cc5f1b2" xsi:nil="true"/>
    <Downloads xmlns="6d93d202-47fc-4405-873a-cab67cc5f1b2">0</Downloads>
    <ArtSampleDocs xmlns="6d93d202-47fc-4405-873a-cab67cc5f1b2" xsi:nil="true"/>
    <TrustLevel xmlns="6d93d202-47fc-4405-873a-cab67cc5f1b2">1 Microsoft Managed Content</TrustLevel>
    <BlockPublish xmlns="6d93d202-47fc-4405-873a-cab67cc5f1b2">false</BlockPublish>
    <TPLaunchHelpLinkType xmlns="6d93d202-47fc-4405-873a-cab67cc5f1b2">Template</TPLaunchHelpLinkType>
    <LocalizationTagsTaxHTField0 xmlns="6d93d202-47fc-4405-873a-cab67cc5f1b2">
      <Terms xmlns="http://schemas.microsoft.com/office/infopath/2007/PartnerControls"/>
    </LocalizationTagsTaxHTField0>
    <BusinessGroup xmlns="6d93d202-47fc-4405-873a-cab67cc5f1b2" xsi:nil="true"/>
    <Providers xmlns="6d93d202-47fc-4405-873a-cab67cc5f1b2" xsi:nil="true"/>
    <TemplateTemplateType xmlns="6d93d202-47fc-4405-873a-cab67cc5f1b2">Excel Spreadsheet Template</TemplateTemplateType>
    <TimesCloned xmlns="6d93d202-47fc-4405-873a-cab67cc5f1b2" xsi:nil="true"/>
    <TPAppVersion xmlns="6d93d202-47fc-4405-873a-cab67cc5f1b2" xsi:nil="true"/>
    <VoteCount xmlns="6d93d202-47fc-4405-873a-cab67cc5f1b2" xsi:nil="true"/>
    <AverageRating xmlns="6d93d202-47fc-4405-873a-cab67cc5f1b2" xsi:nil="true"/>
    <FeatureTagsTaxHTField0 xmlns="6d93d202-47fc-4405-873a-cab67cc5f1b2">
      <Terms xmlns="http://schemas.microsoft.com/office/infopath/2007/PartnerControls"/>
    </FeatureTagsTaxHTField0>
    <Provider xmlns="6d93d202-47fc-4405-873a-cab67cc5f1b2" xsi:nil="true"/>
    <UACurrentWords xmlns="6d93d202-47fc-4405-873a-cab67cc5f1b2" xsi:nil="true"/>
    <AssetId xmlns="6d93d202-47fc-4405-873a-cab67cc5f1b2">TP102929977</AssetId>
    <TPClientViewer xmlns="6d93d202-47fc-4405-873a-cab67cc5f1b2" xsi:nil="true"/>
    <DSATActionTaken xmlns="6d93d202-47fc-4405-873a-cab67cc5f1b2" xsi:nil="true"/>
    <APEditor xmlns="6d93d202-47fc-4405-873a-cab67cc5f1b2">
      <UserInfo>
        <DisplayName/>
        <AccountId xsi:nil="true"/>
        <AccountType/>
      </UserInfo>
    </APEditor>
    <TPInstallLocation xmlns="6d93d202-47fc-4405-873a-cab67cc5f1b2" xsi:nil="true"/>
    <OOCacheId xmlns="6d93d202-47fc-4405-873a-cab67cc5f1b2" xsi:nil="true"/>
    <IsDeleted xmlns="6d93d202-47fc-4405-873a-cab67cc5f1b2">false</IsDeleted>
    <PublishTargets xmlns="6d93d202-47fc-4405-873a-cab67cc5f1b2">OfficeOnlineVNext</PublishTargets>
    <ApprovalLog xmlns="6d93d202-47fc-4405-873a-cab67cc5f1b2" xsi:nil="true"/>
    <BugNumber xmlns="6d93d202-47fc-4405-873a-cab67cc5f1b2" xsi:nil="true"/>
    <CrawlForDependencies xmlns="6d93d202-47fc-4405-873a-cab67cc5f1b2">false</CrawlForDependencies>
    <InternalTagsTaxHTField0 xmlns="6d93d202-47fc-4405-873a-cab67cc5f1b2">
      <Terms xmlns="http://schemas.microsoft.com/office/infopath/2007/PartnerControls"/>
    </InternalTagsTaxHTField0>
    <LastHandOff xmlns="6d93d202-47fc-4405-873a-cab67cc5f1b2" xsi:nil="true"/>
    <Milestone xmlns="6d93d202-47fc-4405-873a-cab67cc5f1b2" xsi:nil="true"/>
    <OriginalRelease xmlns="6d93d202-47fc-4405-873a-cab67cc5f1b2">15</OriginalRelease>
    <RecommendationsModifier xmlns="6d93d202-47fc-4405-873a-cab67cc5f1b2" xsi:nil="true"/>
    <ScenarioTagsTaxHTField0 xmlns="6d93d202-47fc-4405-873a-cab67cc5f1b2">
      <Terms xmlns="http://schemas.microsoft.com/office/infopath/2007/PartnerControls"/>
    </ScenarioTagsTaxHTField0>
    <UANotes xmlns="6d93d202-47fc-4405-873a-cab67cc5f1b2" xsi:nil="true"/>
    <Component xmlns="64acb2c5-0a2b-4bda-bd34-58e36cbb80d2" xsi:nil="true"/>
    <Description0 xmlns="64acb2c5-0a2b-4bda-bd34-58e36cbb80d2" xsi:nil="true"/>
  </documentManagement>
</p:properties>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TemplateFile" ma:contentTypeID="0x01010069924D1ECC420D47A2456556BC94F7370400BDF4491DEA4973499845289601F88B9F" ma:contentTypeVersion="55" ma:contentTypeDescription="Create a new document." ma:contentTypeScope="" ma:versionID="41eb558a2b826e6e4f9defd990175bec">
  <xsd:schema xmlns:xsd="http://www.w3.org/2001/XMLSchema" xmlns:xs="http://www.w3.org/2001/XMLSchema" xmlns:p="http://schemas.microsoft.com/office/2006/metadata/properties" xmlns:ns2="6d93d202-47fc-4405-873a-cab67cc5f1b2" xmlns:ns3="64acb2c5-0a2b-4bda-bd34-58e36cbb80d2" targetNamespace="http://schemas.microsoft.com/office/2006/metadata/properties" ma:root="true" ma:fieldsID="19deea0185cf7bc57eee9b90b1ba2ace" ns2:_="" ns3:_="">
    <xsd:import namespace="6d93d202-47fc-4405-873a-cab67cc5f1b2"/>
    <xsd:import namespace="64acb2c5-0a2b-4bda-bd34-58e36cbb80d2"/>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AverageRating"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element ref="ns3:Description0" minOccurs="0"/>
                <xsd:element ref="ns3:Compon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3d202-47fc-4405-873a-cab67cc5f1b2"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verageRating" ma:index="12" nillable="true" ma:displayName="Average Rating" ma:internalName="AverageRating" ma:readOnly="false">
      <xsd:simpleType>
        <xsd:restriction base="dms:Text"/>
      </xsd:simpleType>
    </xsd:element>
    <xsd:element name="BlockPublish" ma:index="13" nillable="true" ma:displayName="Block from Publishing?" ma:default="" ma:internalName="BlockPublish" ma:readOnly="false">
      <xsd:simpleType>
        <xsd:restriction base="dms:Boolean"/>
      </xsd:simpleType>
    </xsd:element>
    <xsd:element name="BugNumber" ma:index="14" nillable="true" ma:displayName="Bug Number" ma:default="" ma:internalName="BugNumber" ma:readOnly="false">
      <xsd:simpleType>
        <xsd:restriction base="dms:Text"/>
      </xsd:simpleType>
    </xsd:element>
    <xsd:element name="CampaignTagsTaxHTField0" ma:index="16" nillable="true" ma:taxonomy="true" ma:internalName="CampaignTagsTaxHTField0" ma:taxonomyFieldName="CampaignTags" ma:displayName="Campaigns" ma:readOnly="false" ma:default="" ma:fieldId="{dc79c007-7f28-4db9-9ba1-525d19a3279b}"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7" nillable="true" ma:displayName="Client Viewer" ma:default="" ma:internalName="TPClientViewer">
      <xsd:simpleType>
        <xsd:restriction base="dms:Text"/>
      </xsd:simpleType>
    </xsd:element>
    <xsd:element name="ClipArtFilename" ma:index="18" nillable="true" ma:displayName="Clip Art Name" ma:default="" ma:internalName="ClipArtFilename" ma:readOnly="false">
      <xsd:simpleType>
        <xsd:restriction base="dms:Text"/>
      </xsd:simpleType>
    </xsd:element>
    <xsd:element name="TPCommandLine" ma:index="19" nillable="true" ma:displayName="Command Line" ma:default="" ma:internalName="TPCommandLine">
      <xsd:simpleType>
        <xsd:restriction base="dms:Text"/>
      </xsd:simpleType>
    </xsd:element>
    <xsd:element name="TPComponent" ma:index="20" nillable="true" ma:displayName="Component" ma:default="" ma:internalName="TPComponent">
      <xsd:simpleType>
        <xsd:restriction base="dms:Text"/>
      </xsd:simpleType>
    </xsd:element>
    <xsd:element name="ContentItem" ma:index="21" nillable="true" ma:displayName="Content Item" ma:default="" ma:hidden="true" ma:internalName="ContentItem" ma:readOnly="false">
      <xsd:simpleType>
        <xsd:restriction base="dms:Unknown"/>
      </xsd:simpleType>
    </xsd:element>
    <xsd:element name="CrawlForDependencies" ma:index="23" nillable="true" ma:displayName="Crawl for Dependencies?" ma:default="true" ma:internalName="CrawlForDependencies" ma:readOnly="false">
      <xsd:simpleType>
        <xsd:restriction base="dms:Boolean"/>
      </xsd:simpleType>
    </xsd:element>
    <xsd:element name="CSXHash" ma:index="26" nillable="true" ma:displayName="CSX Hash" ma:default="" ma:indexed="true" ma:internalName="CSXHash" ma:readOnly="false">
      <xsd:simpleType>
        <xsd:restriction base="dms:Text"/>
      </xsd:simpleType>
    </xsd:element>
    <xsd:element name="CSXSubmissionMarket" ma:index="27" nillable="true" ma:displayName="CSX Submission Market" ma:default="" ma:list="{80C6DD30-196A-4C6B-B1BF-A43F3B8ACD4F}" ma:internalName="CSXSubmissionMarket" ma:readOnly="false" ma:showField="MarketName" ma:web="6d93d202-47fc-4405-873a-cab67cc5f1b2">
      <xsd:simpleType>
        <xsd:restriction base="dms:Lookup"/>
      </xsd:simpleType>
    </xsd:element>
    <xsd:element name="CSXUpdate" ma:index="28" nillable="true" ma:displayName="CSX Updated?" ma:default="false" ma:internalName="CSXUpdate" ma:readOnly="false">
      <xsd:simpleType>
        <xsd:restriction base="dms:Boolean"/>
      </xsd:simpleType>
    </xsd:element>
    <xsd:element name="IntlLangReviewDate" ma:index="29" nillable="true" ma:displayName="Date to Complete Intl QA" ma:default="" ma:internalName="IntlLangReviewDate" ma:readOnly="false">
      <xsd:simpleType>
        <xsd:restriction base="dms:DateTime"/>
      </xsd:simpleType>
    </xsd:element>
    <xsd:element name="IsDeleted" ma:index="30" nillable="true" ma:displayName="Deleted?" ma:default="" ma:internalName="IsDeleted" ma:readOnly="false">
      <xsd:simpleType>
        <xsd:restriction base="dms:Boolean"/>
      </xsd:simpleType>
    </xsd:element>
    <xsd:element name="APDescription" ma:index="31" nillable="true" ma:displayName="Description" ma:default="" ma:internalName="APDescription" ma:readOnly="false">
      <xsd:simpleType>
        <xsd:restriction base="dms:Note"/>
      </xsd:simpleType>
    </xsd:element>
    <xsd:element name="DirectSourceMarket" ma:index="32" nillable="true" ma:displayName="Direct Source Market Group" ma:default="" ma:internalName="DirectSourceMarket" ma:readOnly="false">
      <xsd:simpleType>
        <xsd:restriction base="dms:Text"/>
      </xsd:simpleType>
    </xsd:element>
    <xsd:element name="Downloads" ma:index="33" nillable="true" ma:displayName="Downloads" ma:default="0" ma:hidden="true" ma:internalName="Downloads" ma:readOnly="false">
      <xsd:simpleType>
        <xsd:restriction base="dms:Unknown"/>
      </xsd:simpleType>
    </xsd:element>
    <xsd:element name="DSATActionTaken" ma:index="34"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5"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6" nillable="true" ma:displayName="Editorial Status" ma:default="" ma:internalName="EditorialStatus" ma:readOnly="false">
      <xsd:simpleType>
        <xsd:restriction base="dms:Unknown"/>
      </xsd:simpleType>
    </xsd:element>
    <xsd:element name="EditorialTags" ma:index="37" nillable="true" ma:displayName="Editorial Tags" ma:default="" ma:internalName="EditorialTags">
      <xsd:simpleType>
        <xsd:restriction base="dms:Unknown"/>
      </xsd:simpleType>
    </xsd:element>
    <xsd:element name="TPExecutable" ma:index="38" nillable="true" ma:displayName="Executable" ma:default="" ma:internalName="TPExecutable">
      <xsd:simpleType>
        <xsd:restriction base="dms:Text"/>
      </xsd:simpleType>
    </xsd:element>
    <xsd:element name="FeatureTagsTaxHTField0" ma:index="40" nillable="true" ma:taxonomy="true" ma:internalName="FeatureTagsTaxHTField0" ma:taxonomyFieldName="FeatureTags" ma:displayName="Features" ma:readOnly="false" ma:default="" ma:fieldId="{bb16b974-ed24-4278-8820-8e232d38904b}"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1" nillable="true" ma:displayName="Friendly Name" ma:default="" ma:internalName="TPFriendlyName">
      <xsd:simpleType>
        <xsd:restriction base="dms:Text"/>
      </xsd:simpleType>
    </xsd:element>
    <xsd:element name="FriendlyTitle" ma:index="42" nillable="true" ma:displayName="Friendly Title" ma:default="" ma:description="Shorter title to be used when displaying search results" ma:internalName="FriendlyTitle" ma:readOnly="false">
      <xsd:simpleType>
        <xsd:restriction base="dms:Text"/>
      </xsd:simpleType>
    </xsd:element>
    <xsd:element name="PrimaryImageGen" ma:index="43" nillable="true" ma:displayName="Generate Images?" ma:default="true" ma:internalName="PrimaryImageGen">
      <xsd:simpleType>
        <xsd:restriction base="dms:Boolean"/>
      </xsd:simpleType>
    </xsd:element>
    <xsd:element name="HandoffToMSDN" ma:index="44" nillable="true" ma:displayName="Handoff To MSDN Date" ma:default="" ma:internalName="HandoffToMSDN" ma:readOnly="false">
      <xsd:simpleType>
        <xsd:restriction base="dms:DateTime"/>
      </xsd:simpleType>
    </xsd:element>
    <xsd:element name="InProjectListLookup" ma:index="45" nillable="true" ma:displayName="InProjectListLookup" ma:list="{7E2D4CA2-442A-4FDA-AA57-71B8C7B2C53C}" ma:internalName="InProjectListLookup" ma:readOnly="true" ma:showField="InProjectList"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TPInstallLocation" ma:index="46" nillable="true" ma:displayName="Install Location" ma:default="" ma:internalName="TPInstallLocation">
      <xsd:simpleType>
        <xsd:restriction base="dms:Text"/>
      </xsd:simpleType>
    </xsd:element>
    <xsd:element name="InternalTagsTaxHTField0" ma:index="48" nillable="true" ma:taxonomy="true" ma:internalName="InternalTagsTaxHTField0" ma:taxonomyFieldName="InternalTags" ma:displayName="Internal Tags" ma:readOnly="false" ma:default="" ma:fieldId="{fd9a49dc-3dbf-4047-b62d-1d587abe7b40}"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9" nillable="true" ma:displayName="Intl Lang QA Review Required?" ma:default="" ma:internalName="IntlLangReview" ma:readOnly="false">
      <xsd:simpleType>
        <xsd:restriction base="dms:Boolean"/>
      </xsd:simpleType>
    </xsd:element>
    <xsd:element name="IntlLangReviewer" ma:index="50" nillable="true" ma:displayName="Intl Lang QA Reviewer" ma:default="" ma:internalName="IntlLangReviewer" ma:readOnly="false">
      <xsd:simpleType>
        <xsd:restriction base="dms:Text"/>
      </xsd:simpleType>
    </xsd:element>
    <xsd:element name="MarketSpecific" ma:index="51" nillable="true" ma:displayName="Is Market Specific?" ma:default="" ma:internalName="MarketSpecific" ma:readOnly="false">
      <xsd:simpleType>
        <xsd:restriction base="dms:Boolean"/>
      </xsd:simpleType>
    </xsd:element>
    <xsd:element name="LastCompleteVersionLookup" ma:index="52" nillable="true" ma:displayName="Last Complete Version Lookup" ma:default="" ma:list="{7E2D4CA2-442A-4FDA-AA57-71B8C7B2C53C}" ma:internalName="LastCompleteVersionLookup" ma:readOnly="true" ma:showField="LastCompleteVersion"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HandOff" ma:index="53" nillable="true" ma:displayName="Last Hand-off" ma:default="" ma:internalName="LastHandOff" ma:readOnly="false">
      <xsd:simpleType>
        <xsd:restriction base="dms:DateTime"/>
      </xsd:simpleType>
    </xsd:element>
    <xsd:element name="LastModifiedDateTime" ma:index="54" nillable="true" ma:displayName="Last Modified Date" ma:default="" ma:internalName="LastModifiedDateTime" ma:readOnly="false">
      <xsd:simpleType>
        <xsd:restriction base="dms:DateTime"/>
      </xsd:simpleType>
    </xsd:element>
    <xsd:element name="LastPreviewErrorLookup" ma:index="55" nillable="true" ma:displayName="Last Preview Attempt Error" ma:default="" ma:list="{7E2D4CA2-442A-4FDA-AA57-71B8C7B2C53C}" ma:internalName="LastPreviewErrorLookup" ma:readOnly="true" ma:showField="LastPreviewError"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reviewResultLookup" ma:index="56" nillable="true" ma:displayName="Last Preview Attempt Result" ma:default="" ma:list="{7E2D4CA2-442A-4FDA-AA57-71B8C7B2C53C}" ma:internalName="LastPreviewResultLookup" ma:readOnly="true" ma:showField="LastPreviewResult"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7" nillable="true" ma:displayName="Last Preview Attempted On" ma:default="" ma:list="{7E2D4CA2-442A-4FDA-AA57-71B8C7B2C53C}" ma:internalName="LastPreviewAttemptDateLookup" ma:readOnly="true" ma:showField="LastPreviewAttemptDate"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reviewedByLookup" ma:index="58" nillable="true" ma:displayName="Last Previewed By" ma:default="" ma:list="{7E2D4CA2-442A-4FDA-AA57-71B8C7B2C53C}" ma:internalName="LastPreviewedByLookup" ma:readOnly="true" ma:showField="LastPreviewedBy"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reviewTimeLookup" ma:index="59" nillable="true" ma:displayName="Last Previewed Date" ma:default="" ma:list="{7E2D4CA2-442A-4FDA-AA57-71B8C7B2C53C}" ma:internalName="LastPreviewTimeLookup" ma:readOnly="true" ma:showField="LastPreviewTime"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reviewVersionLookup" ma:index="60" nillable="true" ma:displayName="Last Previewed Version" ma:default="" ma:list="{7E2D4CA2-442A-4FDA-AA57-71B8C7B2C53C}" ma:internalName="LastPreviewVersionLookup" ma:readOnly="true" ma:showField="LastPreviewVersion"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ublishErrorLookup" ma:index="61" nillable="true" ma:displayName="Last Publish Attempt Error" ma:default="" ma:list="{7E2D4CA2-442A-4FDA-AA57-71B8C7B2C53C}" ma:internalName="LastPublishErrorLookup" ma:readOnly="true" ma:showField="LastPublishError"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ublishResultLookup" ma:index="62" nillable="true" ma:displayName="Last Publish Attempt Result" ma:default="" ma:list="{7E2D4CA2-442A-4FDA-AA57-71B8C7B2C53C}" ma:internalName="LastPublishResultLookup" ma:readOnly="true" ma:showField="LastPublishResult"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3" nillable="true" ma:displayName="Last Publish Attempted On" ma:default="" ma:list="{7E2D4CA2-442A-4FDA-AA57-71B8C7B2C53C}" ma:internalName="LastPublishAttemptDateLookup" ma:readOnly="true" ma:showField="LastPublishAttemptDate"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ublishedByLookup" ma:index="64" nillable="true" ma:displayName="Last Published By" ma:default="" ma:list="{7E2D4CA2-442A-4FDA-AA57-71B8C7B2C53C}" ma:internalName="LastPublishedByLookup" ma:readOnly="true" ma:showField="LastPublishedBy"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ublishTimeLookup" ma:index="65" nillable="true" ma:displayName="Last Published Date" ma:default="" ma:list="{7E2D4CA2-442A-4FDA-AA57-71B8C7B2C53C}" ma:internalName="LastPublishTimeLookup" ma:readOnly="true" ma:showField="LastPublishTime"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LastPublishVersionLookup" ma:index="66" nillable="true" ma:displayName="Last Published Version" ma:default="" ma:list="{7E2D4CA2-442A-4FDA-AA57-71B8C7B2C53C}" ma:internalName="LastPublishVersionLookup" ma:readOnly="true" ma:showField="LastPublishVersion"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TPLaunchHelpLinkType" ma:index="67"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8" nillable="true" ma:displayName="Legacy Data" ma:default="" ma:internalName="LegacyData" ma:readOnly="false">
      <xsd:simpleType>
        <xsd:restriction base="dms:Note"/>
      </xsd:simpleType>
    </xsd:element>
    <xsd:element name="TPLaunchHelpLink" ma:index="69" nillable="true" ma:displayName="Link to Launch Help Topic" ma:default="" ma:internalName="TPLaunchHelpLink">
      <xsd:simpleType>
        <xsd:restriction base="dms:Text"/>
      </xsd:simpleType>
    </xsd:element>
    <xsd:element name="LocComments" ma:index="70" nillable="true" ma:displayName="Loc Approval Comments" ma:default="" ma:internalName="LocComments" ma:readOnly="false">
      <xsd:simpleType>
        <xsd:restriction base="dms:Note"/>
      </xsd:simpleType>
    </xsd:element>
    <xsd:element name="LocLastLocAttemptVersionLookup" ma:index="71" nillable="true" ma:displayName="Loc Last Loc Attempt Version" ma:default="" ma:list="{4CDE398E-75A7-4993-8C61-2BFD31F64754}" ma:internalName="LocLastLocAttemptVersionLookup" ma:readOnly="false" ma:showField="LastLocAttemptVersion" ma:web="6d93d202-47fc-4405-873a-cab67cc5f1b2">
      <xsd:simpleType>
        <xsd:restriction base="dms:Lookup"/>
      </xsd:simpleType>
    </xsd:element>
    <xsd:element name="LocLastLocAttemptVersionTypeLookup" ma:index="72" nillable="true" ma:displayName="Loc Last Loc Attempt Version Type" ma:default="" ma:list="{4CDE398E-75A7-4993-8C61-2BFD31F64754}" ma:internalName="LocLastLocAttemptVersionTypeLookup" ma:readOnly="true" ma:showField="LastLocAttemptVersionType" ma:web="6d93d202-47fc-4405-873a-cab67cc5f1b2">
      <xsd:simpleType>
        <xsd:restriction base="dms:Lookup"/>
      </xsd:simpleType>
    </xsd:element>
    <xsd:element name="LocManualTestRequired" ma:index="73" nillable="true" ma:displayName="Loc Manual Test Required" ma:default="" ma:internalName="LocManualTestRequired" ma:readOnly="false">
      <xsd:simpleType>
        <xsd:restriction base="dms:Boolean"/>
      </xsd:simpleType>
    </xsd:element>
    <xsd:element name="LocMarketGroupTiers2" ma:index="74" nillable="true" ma:displayName="Loc Market Group Tiers" ma:internalName="LocMarketGroupTiers2" ma:readOnly="false">
      <xsd:simpleType>
        <xsd:restriction base="dms:Unknown"/>
      </xsd:simpleType>
    </xsd:element>
    <xsd:element name="LocNewPublishedVersionLookup" ma:index="75" nillable="true" ma:displayName="Loc New Published Version Lookup" ma:default="" ma:list="{4CDE398E-75A7-4993-8C61-2BFD31F64754}" ma:internalName="LocNewPublishedVersionLookup" ma:readOnly="true" ma:showField="NewPublishedVersion" ma:web="6d93d202-47fc-4405-873a-cab67cc5f1b2">
      <xsd:simpleType>
        <xsd:restriction base="dms:Lookup"/>
      </xsd:simpleType>
    </xsd:element>
    <xsd:element name="LocOverallHandbackStatusLookup" ma:index="76" nillable="true" ma:displayName="Loc Overall Handback Status" ma:default="" ma:list="{4CDE398E-75A7-4993-8C61-2BFD31F64754}" ma:internalName="LocOverallHandbackStatusLookup" ma:readOnly="true" ma:showField="OverallHandbackStatus" ma:web="6d93d202-47fc-4405-873a-cab67cc5f1b2">
      <xsd:simpleType>
        <xsd:restriction base="dms:Lookup"/>
      </xsd:simpleType>
    </xsd:element>
    <xsd:element name="LocOverallLocStatusLookup" ma:index="77" nillable="true" ma:displayName="Loc Overall Localize Status" ma:default="" ma:list="{4CDE398E-75A7-4993-8C61-2BFD31F64754}" ma:internalName="LocOverallLocStatusLookup" ma:readOnly="true" ma:showField="OverallLocStatus" ma:web="6d93d202-47fc-4405-873a-cab67cc5f1b2">
      <xsd:simpleType>
        <xsd:restriction base="dms:Lookup"/>
      </xsd:simpleType>
    </xsd:element>
    <xsd:element name="LocOverallPreviewStatusLookup" ma:index="78" nillable="true" ma:displayName="Loc Overall Preview Status" ma:default="" ma:list="{4CDE398E-75A7-4993-8C61-2BFD31F64754}" ma:internalName="LocOverallPreviewStatusLookup" ma:readOnly="true" ma:showField="OverallPreviewStatus" ma:web="6d93d202-47fc-4405-873a-cab67cc5f1b2">
      <xsd:simpleType>
        <xsd:restriction base="dms:Lookup"/>
      </xsd:simpleType>
    </xsd:element>
    <xsd:element name="LocOverallPublishStatusLookup" ma:index="79" nillable="true" ma:displayName="Loc Overall Publish Status" ma:default="" ma:list="{4CDE398E-75A7-4993-8C61-2BFD31F64754}" ma:internalName="LocOverallPublishStatusLookup" ma:readOnly="true" ma:showField="OverallPublishStatus" ma:web="6d93d202-47fc-4405-873a-cab67cc5f1b2">
      <xsd:simpleType>
        <xsd:restriction base="dms:Lookup"/>
      </xsd:simpleType>
    </xsd:element>
    <xsd:element name="IntlLocPriority" ma:index="80" nillable="true" ma:displayName="Loc Priority" ma:default="" ma:internalName="IntlLocPriority" ma:readOnly="false">
      <xsd:simpleType>
        <xsd:restriction base="dms:Unknown"/>
      </xsd:simpleType>
    </xsd:element>
    <xsd:element name="LocProcessedForHandoffsLookup" ma:index="81" nillable="true" ma:displayName="Loc Processed For Handoffs" ma:default="" ma:list="{4CDE398E-75A7-4993-8C61-2BFD31F64754}" ma:internalName="LocProcessedForHandoffsLookup" ma:readOnly="true" ma:showField="ProcessedForHandoffs" ma:web="6d93d202-47fc-4405-873a-cab67cc5f1b2">
      <xsd:simpleType>
        <xsd:restriction base="dms:Lookup"/>
      </xsd:simpleType>
    </xsd:element>
    <xsd:element name="LocProcessedForMarketsLookup" ma:index="82" nillable="true" ma:displayName="Loc Processed For Markets" ma:default="" ma:list="{4CDE398E-75A7-4993-8C61-2BFD31F64754}" ma:internalName="LocProcessedForMarketsLookup" ma:readOnly="true" ma:showField="ProcessedForMarkets" ma:web="6d93d202-47fc-4405-873a-cab67cc5f1b2">
      <xsd:simpleType>
        <xsd:restriction base="dms:Lookup"/>
      </xsd:simpleType>
    </xsd:element>
    <xsd:element name="LocPublishedDependentAssetsLookup" ma:index="83" nillable="true" ma:displayName="Loc Published Dependent Assets" ma:default="" ma:list="{4CDE398E-75A7-4993-8C61-2BFD31F64754}" ma:internalName="LocPublishedDependentAssetsLookup" ma:readOnly="true" ma:showField="PublishedDependentAssets" ma:web="6d93d202-47fc-4405-873a-cab67cc5f1b2">
      <xsd:simpleType>
        <xsd:restriction base="dms:Lookup"/>
      </xsd:simpleType>
    </xsd:element>
    <xsd:element name="LocPublishedLinkedAssetsLookup" ma:index="84" nillable="true" ma:displayName="Loc Published Linked Assets" ma:default="" ma:list="{4CDE398E-75A7-4993-8C61-2BFD31F64754}" ma:internalName="LocPublishedLinkedAssetsLookup" ma:readOnly="true" ma:showField="PublishedLinkedAssets" ma:web="6d93d202-47fc-4405-873a-cab67cc5f1b2">
      <xsd:simpleType>
        <xsd:restriction base="dms:Lookup"/>
      </xsd:simpleType>
    </xsd:element>
    <xsd:element name="LocRecommendedHandoff" ma:index="85" nillable="true" ma:displayName="Loc Recommended Handoff" ma:default="" ma:indexed="true" ma:internalName="LocRecommendedHandoff" ma:readOnly="false">
      <xsd:simpleType>
        <xsd:restriction base="dms:Text"/>
      </xsd:simpleType>
    </xsd:element>
    <xsd:element name="LocalizationTagsTaxHTField0" ma:index="87" nillable="true" ma:taxonomy="true" ma:internalName="LocalizationTagsTaxHTField0" ma:taxonomyFieldName="LocalizationTags" ma:displayName="Localization Tags" ma:readOnly="false" ma:default="" ma:fieldId="{db560eb5-700a-4f94-8fda-b57de4261f12}"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8" nillable="true" ma:displayName="Machine Translated" ma:default="" ma:internalName="MachineTranslated" ma:readOnly="false">
      <xsd:simpleType>
        <xsd:restriction base="dms:Boolean"/>
      </xsd:simpleType>
    </xsd:element>
    <xsd:element name="Manager" ma:index="89" nillable="true" ma:displayName="Manager" ma:hidden="true" ma:internalName="Manager" ma:readOnly="false">
      <xsd:simpleType>
        <xsd:restriction base="dms:Text"/>
      </xsd:simpleType>
    </xsd:element>
    <xsd:element name="Markets" ma:index="90" nillable="true" ma:displayName="Markets" ma:default="" ma:description="Leave blank to show in all markets" ma:list="{80C6DD30-196A-4C6B-B1BF-A43F3B8ACD4F}" ma:internalName="Markets" ma:readOnly="false" ma:showField="MarketName"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Milestone" ma:index="91" nillable="true" ma:displayName="Milestone" ma:default="" ma:internalName="Milestone" ma:readOnly="false">
      <xsd:simpleType>
        <xsd:restriction base="dms:Unknown"/>
      </xsd:simpleType>
    </xsd:element>
    <xsd:element name="TPNamespace" ma:index="94" nillable="true" ma:displayName="Namespace" ma:default="" ma:internalName="TPNamespac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7E2D4CA2-442A-4FDA-AA57-71B8C7B2C53C}" ma:internalName="NumOfRatingsLookup" ma:readOnly="true" ma:showField="NumOfRatings"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default=""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7E2D4CA2-442A-4FDA-AA57-71B8C7B2C53C}" ma:internalName="PublishStatusLookup" ma:readOnly="false" ma:showField="PublishStatus"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6e3f7319-fb8f-4449-8902-000ab73a8566}"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11d213f5-ec09-44b6-a8be-9da225be7a8d}" ma:internalName="TaxCatchAll" ma:showField="CatchAllData"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11d213f5-ec09-44b6-a8be-9da225be7a8d}" ma:internalName="TaxCatchAllLabel" ma:readOnly="true" ma:showField="CatchAllDataLabel" ma:web="6d93d202-47fc-4405-873a-cab67cc5f1b2">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4acb2c5-0a2b-4bda-bd34-58e36cbb80d2" elementFormDefault="qualified">
    <xsd:import namespace="http://schemas.microsoft.com/office/2006/documentManagement/types"/>
    <xsd:import namespace="http://schemas.microsoft.com/office/infopath/2007/PartnerControls"/>
    <xsd:element name="Description0" ma:index="134" nillable="true" ma:displayName="Description" ma:internalName="Description0">
      <xsd:simpleType>
        <xsd:restriction base="dms:Note"/>
      </xsd:simpleType>
    </xsd:element>
    <xsd:element name="Component" ma:index="135" nillable="true" ma:displayName="Component" ma:internalName="Component">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2"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8480B7C-74B5-4356-BE3E-F349192742C6}"/>
</file>

<file path=customXml/itemProps2.xml><?xml version="1.0" encoding="utf-8"?>
<ds:datastoreItem xmlns:ds="http://schemas.openxmlformats.org/officeDocument/2006/customXml" ds:itemID="{2CD552CE-B979-4BDB-9FB1-264C1B806DC7}"/>
</file>

<file path=customXml/itemProps3.xml><?xml version="1.0" encoding="utf-8"?>
<ds:datastoreItem xmlns:ds="http://schemas.openxmlformats.org/officeDocument/2006/customXml" ds:itemID="{8EA58A6E-2E90-4593-B4DC-28402E0A25A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4</vt:i4>
      </vt:variant>
    </vt:vector>
  </HeadingPairs>
  <TitlesOfParts>
    <vt:vector size="6" baseType="lpstr">
      <vt:lpstr>Chronologie du projet</vt:lpstr>
      <vt:lpstr>calculs</vt:lpstr>
      <vt:lpstr>DateDébut</vt:lpstr>
      <vt:lpstr>FenêtreDateDébut</vt:lpstr>
      <vt:lpstr>FenêtreDécalage</vt:lpstr>
      <vt:lpstr>FenêtreJours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2011-09-08T16:30:30Z</dcterms:created>
  <dcterms:modified xsi:type="dcterms:W3CDTF">2012-08-24T07:10:18Z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0x01010069924D1ECC420D47A2456556BC94F7370400BDF4491DEA4973499845289601F88B9F</vt:lpwstr>
  </property>
  <property fmtid="{D5CDD505-2E9C-101B-9397-08002B2CF9AE}" pid="3" name="HiddenCategoryTags">
    <vt:lpwstr/>
  </property>
  <property fmtid="{D5CDD505-2E9C-101B-9397-08002B2CF9AE}" pid="4" name="InternalTags">
    <vt:lpwstr/>
  </property>
  <property fmtid="{D5CDD505-2E9C-101B-9397-08002B2CF9AE}" pid="5" name="FeatureTags">
    <vt:lpwstr/>
  </property>
  <property fmtid="{D5CDD505-2E9C-101B-9397-08002B2CF9AE}" pid="6" name="LocalizationTags">
    <vt:lpwstr/>
  </property>
  <property fmtid="{D5CDD505-2E9C-101B-9397-08002B2CF9AE}" pid="7" name="CategoryTags">
    <vt:lpwstr/>
  </property>
  <property fmtid="{D5CDD505-2E9C-101B-9397-08002B2CF9AE}" pid="8" name="ScenarioTags">
    <vt:lpwstr/>
  </property>
  <property fmtid="{D5CDD505-2E9C-101B-9397-08002B2CF9AE}" pid="9" name="CategoryTagsTaxHTField0">
    <vt:lpwstr/>
  </property>
  <property fmtid="{D5CDD505-2E9C-101B-9397-08002B2CF9AE}" pid="10" name="CampaignTags">
    <vt:lpwstr/>
  </property>
  <property fmtid="{D5CDD505-2E9C-101B-9397-08002B2CF9AE}" pid="11" name="HiddenCategoryTagsTaxHTField0">
    <vt:lpwstr/>
  </property>
</Properties>
</file>